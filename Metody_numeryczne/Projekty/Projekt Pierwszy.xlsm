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327" codeName="{37A63EE7-654F-3FA9-A528-636911D70600}"/>
  <workbookPr codeName="Ten_skoroszyt"/>
  <mc:AlternateContent xmlns:mc="http://schemas.openxmlformats.org/markup-compatibility/2006">
    <mc:Choice Requires="x15">
      <x15ac:absPath xmlns:x15ac="http://schemas.microsoft.com/office/spreadsheetml/2010/11/ac" url="D:\Studia\4 semestr\Wprowadzenie do metod numerycznych ćw\"/>
    </mc:Choice>
  </mc:AlternateContent>
  <xr:revisionPtr revIDLastSave="0" documentId="13_ncr:1_{32CCCF8C-A461-4437-8E27-4FD269073885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Arkusz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V10" i="1" l="1"/>
  <c r="X10" i="1"/>
  <c r="X8" i="1"/>
  <c r="V8" i="1"/>
  <c r="X6" i="1"/>
  <c r="V6" i="1"/>
  <c r="T13" i="1"/>
  <c r="T14" i="1"/>
  <c r="T15" i="1"/>
  <c r="T16" i="1"/>
  <c r="T17" i="1"/>
  <c r="T18" i="1"/>
  <c r="T19" i="1"/>
  <c r="T20" i="1"/>
  <c r="T21" i="1"/>
  <c r="T22" i="1"/>
  <c r="T23" i="1"/>
  <c r="T24" i="1"/>
  <c r="T25" i="1"/>
  <c r="T26" i="1"/>
  <c r="T27" i="1"/>
  <c r="T28" i="1"/>
  <c r="T29" i="1"/>
  <c r="T30" i="1"/>
  <c r="T31" i="1"/>
  <c r="T32" i="1"/>
  <c r="T12" i="1"/>
  <c r="AC18" i="1"/>
  <c r="AC17" i="1"/>
  <c r="AC16" i="1"/>
  <c r="R12" i="1"/>
  <c r="S12" i="1" l="1"/>
  <c r="S21" i="1"/>
  <c r="S25" i="1"/>
  <c r="S22" i="1"/>
  <c r="S32" i="1"/>
  <c r="S20" i="1"/>
  <c r="S13" i="1"/>
  <c r="S23" i="1"/>
  <c r="S31" i="1"/>
  <c r="S19" i="1"/>
  <c r="S24" i="1"/>
  <c r="S30" i="1"/>
  <c r="S18" i="1"/>
  <c r="S29" i="1"/>
  <c r="S17" i="1"/>
  <c r="S28" i="1"/>
  <c r="S16" i="1"/>
  <c r="S27" i="1"/>
  <c r="S15" i="1"/>
  <c r="S26" i="1"/>
  <c r="S14" i="1"/>
  <c r="R13" i="1"/>
  <c r="R14" i="1" l="1"/>
  <c r="R15" i="1" l="1"/>
  <c r="R16" i="1" l="1"/>
  <c r="R17" i="1" l="1"/>
  <c r="R18" i="1" l="1"/>
  <c r="R19" i="1" l="1"/>
  <c r="R20" i="1" l="1"/>
  <c r="R21" i="1" l="1"/>
  <c r="R22" i="1" l="1"/>
  <c r="R23" i="1" l="1"/>
  <c r="R24" i="1" l="1"/>
  <c r="R25" i="1" l="1"/>
  <c r="R26" i="1" l="1"/>
  <c r="R27" i="1" l="1"/>
  <c r="R28" i="1" l="1"/>
  <c r="R29" i="1" l="1"/>
  <c r="R30" i="1" l="1"/>
  <c r="R31" i="1" l="1"/>
  <c r="R32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Karol Namieciński</author>
  </authors>
  <commentList>
    <comment ref="O3" authorId="0" shapeId="0" xr:uid="{7EFF1D63-DA2C-4444-B9B4-741FC4B52CC4}">
      <text>
        <r>
          <rPr>
            <b/>
            <sz val="9"/>
            <color indexed="81"/>
            <rFont val="Tahoma"/>
            <family val="2"/>
            <charset val="238"/>
          </rPr>
          <t>Wyraz wolny</t>
        </r>
      </text>
    </comment>
    <comment ref="G5" authorId="0" shapeId="0" xr:uid="{52E8F568-E6C8-41D9-AB03-FE75F0847627}">
      <text>
        <r>
          <rPr>
            <b/>
            <sz val="9"/>
            <color indexed="81"/>
            <rFont val="Tahoma"/>
            <family val="2"/>
            <charset val="238"/>
          </rPr>
          <t>Przedział poszukiwań</t>
        </r>
      </text>
    </comment>
    <comment ref="Q5" authorId="0" shapeId="0" xr:uid="{19D15820-C86A-462E-9602-EE7E1BD75C24}">
      <text>
        <r>
          <rPr>
            <b/>
            <sz val="9"/>
            <color indexed="81"/>
            <rFont val="Tahoma"/>
            <family val="2"/>
            <charset val="238"/>
          </rPr>
          <t xml:space="preserve">Dokładność
</t>
        </r>
      </text>
    </comment>
  </commentList>
</comments>
</file>

<file path=xl/sharedStrings.xml><?xml version="1.0" encoding="utf-8"?>
<sst xmlns="http://schemas.openxmlformats.org/spreadsheetml/2006/main" count="31" uniqueCount="17">
  <si>
    <t>x</t>
  </si>
  <si>
    <t>f(x)</t>
  </si>
  <si>
    <t>pochodna</t>
  </si>
  <si>
    <t>+</t>
  </si>
  <si>
    <t>&lt;</t>
  </si>
  <si>
    <t>&gt;</t>
  </si>
  <si>
    <t>Iteracje</t>
  </si>
  <si>
    <t>Wyniki</t>
  </si>
  <si>
    <t>Metoda</t>
  </si>
  <si>
    <t>Połowienia</t>
  </si>
  <si>
    <t>Falsi</t>
  </si>
  <si>
    <t>Newtona</t>
  </si>
  <si>
    <t>Wykładniki</t>
  </si>
  <si>
    <t>Wyznaczniki</t>
  </si>
  <si>
    <t>X</t>
  </si>
  <si>
    <t>iteracje</t>
  </si>
  <si>
    <t>Nieaktywna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</si>
</sst>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8"/>
      <color rgb="FF000000"/>
      <name val="Segoe UI"/>
      <family val="2"/>
      <charset val="238"/>
    </font>
    <font>
      <sz val="11"/>
      <color rgb="FF000000"/>
      <name val="Calibri"/>
      <family val="2"/>
      <charset val="238"/>
    </font>
    <font>
      <b/>
      <sz val="11"/>
      <color theme="1"/>
      <name val="Calibri"/>
      <family val="2"/>
      <charset val="238"/>
      <scheme val="minor"/>
    </font>
    <font>
      <b/>
      <sz val="9"/>
      <color indexed="81"/>
      <name val="Tahoma"/>
      <family val="2"/>
      <charset val="238"/>
    </font>
  </fonts>
  <fills count="12">
    <fill>
      <patternFill patternType="none"/>
    </fill>
    <fill>
      <patternFill patternType="gray125"/>
    </fill>
    <fill>
      <patternFill patternType="solid">
        <fgColor rgb="FFFFFFCD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FFE7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2" tint="-0.49998474074526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2">
    <xf numFmtId="0" fontId="0" fillId="0" borderId="0" xfId="0"/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5" borderId="0" xfId="0" applyFill="1" applyAlignment="1">
      <alignment horizontal="center"/>
    </xf>
    <xf numFmtId="0" fontId="0" fillId="6" borderId="0" xfId="0" applyFill="1" applyAlignment="1">
      <alignment horizontal="center"/>
    </xf>
    <xf numFmtId="0" fontId="0" fillId="7" borderId="0" xfId="0" applyFill="1" applyAlignment="1">
      <alignment horizontal="center"/>
    </xf>
    <xf numFmtId="0" fontId="0" fillId="8" borderId="0" xfId="0" applyFill="1" applyAlignment="1">
      <alignment horizontal="center"/>
    </xf>
    <xf numFmtId="0" fontId="3" fillId="0" borderId="0" xfId="0" applyFont="1"/>
    <xf numFmtId="0" fontId="0" fillId="9" borderId="0" xfId="0" applyFill="1" applyProtection="1">
      <protection locked="0"/>
    </xf>
    <xf numFmtId="0" fontId="3" fillId="0" borderId="0" xfId="0" applyFont="1" applyProtection="1">
      <protection locked="0"/>
    </xf>
    <xf numFmtId="0" fontId="3" fillId="0" borderId="0" xfId="0" applyFont="1" applyAlignment="1">
      <alignment horizontal="center"/>
    </xf>
    <xf numFmtId="0" fontId="0" fillId="10" borderId="0" xfId="0" applyFill="1"/>
    <xf numFmtId="0" fontId="3" fillId="10" borderId="0" xfId="0" applyFont="1" applyFill="1"/>
    <xf numFmtId="0" fontId="3" fillId="10" borderId="0" xfId="0" applyFont="1" applyFill="1" applyAlignment="1">
      <alignment horizontal="center"/>
    </xf>
    <xf numFmtId="0" fontId="3" fillId="10" borderId="0" xfId="0" applyFont="1" applyFill="1" applyAlignment="1">
      <alignment horizontal="center"/>
    </xf>
    <xf numFmtId="0" fontId="0" fillId="11" borderId="0" xfId="0" applyFill="1"/>
    <xf numFmtId="0" fontId="3" fillId="11" borderId="0" xfId="0" applyFont="1" applyFill="1"/>
    <xf numFmtId="0" fontId="3" fillId="0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0" fillId="2" borderId="0" xfId="0" applyFill="1" applyAlignment="1" applyProtection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</cellXfs>
  <cellStyles count="1">
    <cellStyle name="Normalny" xfId="0" builtinId="0"/>
  </cellStyles>
  <dxfs count="0"/>
  <tableStyles count="0" defaultTableStyle="TableStyleMedium2" defaultPivotStyle="PivotStyleLight16"/>
  <colors>
    <mruColors>
      <color rgb="FFFFFFE7"/>
      <color rgb="FFFFFFCD"/>
      <color rgb="FFDFDA00"/>
      <color rgb="FFFFFF6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5086727265016472E-2"/>
          <c:y val="8.6989095540149608E-2"/>
          <c:w val="0.93551770122092015"/>
          <c:h val="0.87139076739356769"/>
        </c:manualLayout>
      </c:layout>
      <c:scatterChart>
        <c:scatterStyle val="smoothMarker"/>
        <c:varyColors val="0"/>
        <c:ser>
          <c:idx val="0"/>
          <c:order val="0"/>
          <c:tx>
            <c:v>Wykres funkcji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Arkusz1!$R$12:$R$32</c:f>
              <c:numCache>
                <c:formatCode>General</c:formatCode>
                <c:ptCount val="21"/>
                <c:pt idx="0">
                  <c:v>-5</c:v>
                </c:pt>
                <c:pt idx="1">
                  <c:v>-4.5</c:v>
                </c:pt>
                <c:pt idx="2">
                  <c:v>-4</c:v>
                </c:pt>
                <c:pt idx="3">
                  <c:v>-3.5</c:v>
                </c:pt>
                <c:pt idx="4">
                  <c:v>-3</c:v>
                </c:pt>
                <c:pt idx="5">
                  <c:v>-2.5</c:v>
                </c:pt>
                <c:pt idx="6">
                  <c:v>-2</c:v>
                </c:pt>
                <c:pt idx="7">
                  <c:v>-1.5</c:v>
                </c:pt>
                <c:pt idx="8">
                  <c:v>-1</c:v>
                </c:pt>
                <c:pt idx="9">
                  <c:v>-0.5</c:v>
                </c:pt>
                <c:pt idx="10">
                  <c:v>0</c:v>
                </c:pt>
                <c:pt idx="11">
                  <c:v>0.5</c:v>
                </c:pt>
                <c:pt idx="12">
                  <c:v>1</c:v>
                </c:pt>
                <c:pt idx="13">
                  <c:v>1.5</c:v>
                </c:pt>
                <c:pt idx="14">
                  <c:v>2</c:v>
                </c:pt>
                <c:pt idx="15">
                  <c:v>2.5</c:v>
                </c:pt>
                <c:pt idx="16">
                  <c:v>3</c:v>
                </c:pt>
                <c:pt idx="17">
                  <c:v>3.5</c:v>
                </c:pt>
                <c:pt idx="18">
                  <c:v>4</c:v>
                </c:pt>
                <c:pt idx="19">
                  <c:v>4.5</c:v>
                </c:pt>
                <c:pt idx="20">
                  <c:v>5</c:v>
                </c:pt>
              </c:numCache>
            </c:numRef>
          </c:xVal>
          <c:yVal>
            <c:numRef>
              <c:f>Arkusz1!$S$12:$S$32</c:f>
              <c:numCache>
                <c:formatCode>General</c:formatCode>
                <c:ptCount val="21"/>
                <c:pt idx="0">
                  <c:v>18</c:v>
                </c:pt>
                <c:pt idx="1">
                  <c:v>13.25</c:v>
                </c:pt>
                <c:pt idx="2">
                  <c:v>9</c:v>
                </c:pt>
                <c:pt idx="3">
                  <c:v>5.25</c:v>
                </c:pt>
                <c:pt idx="4">
                  <c:v>2</c:v>
                </c:pt>
                <c:pt idx="5">
                  <c:v>-0.75</c:v>
                </c:pt>
                <c:pt idx="6">
                  <c:v>-3</c:v>
                </c:pt>
                <c:pt idx="7">
                  <c:v>-4.75</c:v>
                </c:pt>
                <c:pt idx="8">
                  <c:v>-6</c:v>
                </c:pt>
                <c:pt idx="9">
                  <c:v>-6.75</c:v>
                </c:pt>
                <c:pt idx="10">
                  <c:v>-7</c:v>
                </c:pt>
                <c:pt idx="11">
                  <c:v>-6.75</c:v>
                </c:pt>
                <c:pt idx="12">
                  <c:v>-6</c:v>
                </c:pt>
                <c:pt idx="13">
                  <c:v>-4.75</c:v>
                </c:pt>
                <c:pt idx="14">
                  <c:v>-3</c:v>
                </c:pt>
                <c:pt idx="15">
                  <c:v>-0.75</c:v>
                </c:pt>
                <c:pt idx="16">
                  <c:v>2</c:v>
                </c:pt>
                <c:pt idx="17">
                  <c:v>5.25</c:v>
                </c:pt>
                <c:pt idx="18">
                  <c:v>9</c:v>
                </c:pt>
                <c:pt idx="19">
                  <c:v>13.25</c:v>
                </c:pt>
                <c:pt idx="20">
                  <c:v>18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EC8-4837-80F9-C077EAF27483}"/>
            </c:ext>
          </c:extLst>
        </c:ser>
        <c:ser>
          <c:idx val="1"/>
          <c:order val="1"/>
          <c:tx>
            <c:v>Pochodna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Arkusz1!$R$12:$R$32</c:f>
              <c:numCache>
                <c:formatCode>General</c:formatCode>
                <c:ptCount val="21"/>
                <c:pt idx="0">
                  <c:v>-5</c:v>
                </c:pt>
                <c:pt idx="1">
                  <c:v>-4.5</c:v>
                </c:pt>
                <c:pt idx="2">
                  <c:v>-4</c:v>
                </c:pt>
                <c:pt idx="3">
                  <c:v>-3.5</c:v>
                </c:pt>
                <c:pt idx="4">
                  <c:v>-3</c:v>
                </c:pt>
                <c:pt idx="5">
                  <c:v>-2.5</c:v>
                </c:pt>
                <c:pt idx="6">
                  <c:v>-2</c:v>
                </c:pt>
                <c:pt idx="7">
                  <c:v>-1.5</c:v>
                </c:pt>
                <c:pt idx="8">
                  <c:v>-1</c:v>
                </c:pt>
                <c:pt idx="9">
                  <c:v>-0.5</c:v>
                </c:pt>
                <c:pt idx="10">
                  <c:v>0</c:v>
                </c:pt>
                <c:pt idx="11">
                  <c:v>0.5</c:v>
                </c:pt>
                <c:pt idx="12">
                  <c:v>1</c:v>
                </c:pt>
                <c:pt idx="13">
                  <c:v>1.5</c:v>
                </c:pt>
                <c:pt idx="14">
                  <c:v>2</c:v>
                </c:pt>
                <c:pt idx="15">
                  <c:v>2.5</c:v>
                </c:pt>
                <c:pt idx="16">
                  <c:v>3</c:v>
                </c:pt>
                <c:pt idx="17">
                  <c:v>3.5</c:v>
                </c:pt>
                <c:pt idx="18">
                  <c:v>4</c:v>
                </c:pt>
                <c:pt idx="19">
                  <c:v>4.5</c:v>
                </c:pt>
                <c:pt idx="20">
                  <c:v>5</c:v>
                </c:pt>
              </c:numCache>
            </c:numRef>
          </c:xVal>
          <c:yVal>
            <c:numRef>
              <c:f>Arkusz1!$T$12:$T$32</c:f>
              <c:numCache>
                <c:formatCode>General</c:formatCode>
                <c:ptCount val="21"/>
                <c:pt idx="0">
                  <c:v>-10</c:v>
                </c:pt>
                <c:pt idx="1">
                  <c:v>-9</c:v>
                </c:pt>
                <c:pt idx="2">
                  <c:v>-8</c:v>
                </c:pt>
                <c:pt idx="3">
                  <c:v>-7</c:v>
                </c:pt>
                <c:pt idx="4">
                  <c:v>-6</c:v>
                </c:pt>
                <c:pt idx="5">
                  <c:v>-5</c:v>
                </c:pt>
                <c:pt idx="6">
                  <c:v>-4</c:v>
                </c:pt>
                <c:pt idx="7">
                  <c:v>-3</c:v>
                </c:pt>
                <c:pt idx="8">
                  <c:v>-2</c:v>
                </c:pt>
                <c:pt idx="9">
                  <c:v>-1</c:v>
                </c:pt>
                <c:pt idx="10">
                  <c:v>0</c:v>
                </c:pt>
                <c:pt idx="11">
                  <c:v>1</c:v>
                </c:pt>
                <c:pt idx="12">
                  <c:v>2</c:v>
                </c:pt>
                <c:pt idx="13">
                  <c:v>3</c:v>
                </c:pt>
                <c:pt idx="14">
                  <c:v>4</c:v>
                </c:pt>
                <c:pt idx="15">
                  <c:v>5</c:v>
                </c:pt>
                <c:pt idx="16">
                  <c:v>6</c:v>
                </c:pt>
                <c:pt idx="17">
                  <c:v>7</c:v>
                </c:pt>
                <c:pt idx="18">
                  <c:v>8</c:v>
                </c:pt>
                <c:pt idx="19">
                  <c:v>9</c:v>
                </c:pt>
                <c:pt idx="20">
                  <c:v>10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EC8-4837-80F9-C077EAF274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0765119"/>
        <c:axId val="380761279"/>
      </c:scatterChart>
      <c:valAx>
        <c:axId val="3807651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380761279"/>
        <c:crosses val="autoZero"/>
        <c:crossBetween val="midCat"/>
      </c:valAx>
      <c:valAx>
        <c:axId val="3807612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38076511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1219129475960927"/>
          <c:y val="2.8496427849359355E-2"/>
          <c:w val="0.56125475338921949"/>
          <c:h val="5.36186330028550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CheckBox" checked="Checked" fmlaLink="$AR$2" lockText="1" noThreeD="1"/>
</file>

<file path=xl/ctrlProps/ctrlProp2.xml><?xml version="1.0" encoding="utf-8"?>
<formControlPr xmlns="http://schemas.microsoft.com/office/spreadsheetml/2009/9/main" objectType="CheckBox" checked="Checked" fmlaLink="$AS$2" lockText="1" noThreeD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CheckBox" fmlaLink="$AT$2" lockText="1" noThreeD="1"/>
</file>

<file path=xl/ctrlProps/ctrlProp5.xml><?xml version="1.0" encoding="utf-8"?>
<formControlPr xmlns="http://schemas.microsoft.com/office/spreadsheetml/2009/9/main" objectType="GBox" noThreeD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9522</xdr:colOff>
          <xdr:row>1</xdr:row>
          <xdr:rowOff>47625</xdr:rowOff>
        </xdr:from>
        <xdr:to>
          <xdr:col>19</xdr:col>
          <xdr:colOff>605839</xdr:colOff>
          <xdr:row>8</xdr:row>
          <xdr:rowOff>180975</xdr:rowOff>
        </xdr:to>
        <xdr:grpSp>
          <xdr:nvGrpSpPr>
            <xdr:cNvPr id="3" name="Grupa 2">
              <a:extLst>
                <a:ext uri="{FF2B5EF4-FFF2-40B4-BE49-F238E27FC236}">
                  <a16:creationId xmlns:a16="http://schemas.microsoft.com/office/drawing/2014/main" id="{00000000-0008-0000-0000-000003000000}"/>
                </a:ext>
              </a:extLst>
            </xdr:cNvPr>
            <xdr:cNvGrpSpPr/>
          </xdr:nvGrpSpPr>
          <xdr:grpSpPr>
            <a:xfrm>
              <a:off x="5686422" y="180975"/>
              <a:ext cx="2196517" cy="1466850"/>
              <a:chOff x="11555005" y="3324225"/>
              <a:chExt cx="1321593" cy="1158478"/>
            </a:xfrm>
          </xdr:grpSpPr>
          <xdr:sp macro="" textlink="">
            <xdr:nvSpPr>
              <xdr:cNvPr id="1031" name="Check Box 7" hidden="1">
                <a:extLst>
                  <a:ext uri="{63B3BB69-23CF-44E3-9099-C40C66FF867C}">
                    <a14:compatExt spid="_x0000_s1031"/>
                  </a:ext>
                  <a:ext uri="{FF2B5EF4-FFF2-40B4-BE49-F238E27FC236}">
                    <a16:creationId xmlns:a16="http://schemas.microsoft.com/office/drawing/2014/main" id="{00000000-0008-0000-0000-000007040000}"/>
                  </a:ext>
                </a:extLst>
              </xdr:cNvPr>
              <xdr:cNvSpPr/>
            </xdr:nvSpPr>
            <xdr:spPr bwMode="auto">
              <a:xfrm>
                <a:off x="11807616" y="3461829"/>
                <a:ext cx="827786" cy="161799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pl-PL" sz="800" b="0" i="0" u="none" strike="noStrike" baseline="0">
                    <a:solidFill>
                      <a:srgbClr val="000000"/>
                    </a:solidFill>
                    <a:latin typeface="Segoe UI"/>
                    <a:cs typeface="Segoe UI"/>
                  </a:rPr>
                  <a:t>Metoda połowienia</a:t>
                </a:r>
              </a:p>
            </xdr:txBody>
          </xdr:sp>
          <xdr:sp macro="" textlink="">
            <xdr:nvSpPr>
              <xdr:cNvPr id="1032" name="Check Box 8" hidden="1">
                <a:extLst>
                  <a:ext uri="{63B3BB69-23CF-44E3-9099-C40C66FF867C}">
                    <a14:compatExt spid="_x0000_s1032"/>
                  </a:ext>
                  <a:ext uri="{FF2B5EF4-FFF2-40B4-BE49-F238E27FC236}">
                    <a16:creationId xmlns:a16="http://schemas.microsoft.com/office/drawing/2014/main" id="{00000000-0008-0000-0000-000008040000}"/>
                  </a:ext>
                </a:extLst>
              </xdr:cNvPr>
              <xdr:cNvSpPr/>
            </xdr:nvSpPr>
            <xdr:spPr bwMode="auto">
              <a:xfrm>
                <a:off x="11808097" y="3592664"/>
                <a:ext cx="778512" cy="18385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pl-PL" sz="800" b="0" i="0" u="none" strike="noStrike" baseline="0">
                    <a:solidFill>
                      <a:srgbClr val="000000"/>
                    </a:solidFill>
                    <a:latin typeface="Segoe UI"/>
                    <a:cs typeface="Segoe UI"/>
                  </a:rPr>
                  <a:t>Metoda Newtona</a:t>
                </a:r>
              </a:p>
            </xdr:txBody>
          </xdr:sp>
          <xdr:sp macro="" textlink="">
            <xdr:nvSpPr>
              <xdr:cNvPr id="1033" name="Button 9" hidden="1">
                <a:extLst>
                  <a:ext uri="{63B3BB69-23CF-44E3-9099-C40C66FF867C}">
                    <a14:compatExt spid="_x0000_s1033"/>
                  </a:ext>
                  <a:ext uri="{FF2B5EF4-FFF2-40B4-BE49-F238E27FC236}">
                    <a16:creationId xmlns:a16="http://schemas.microsoft.com/office/drawing/2014/main" id="{00000000-0008-0000-0000-000009040000}"/>
                  </a:ext>
                </a:extLst>
              </xdr:cNvPr>
              <xdr:cNvSpPr/>
            </xdr:nvSpPr>
            <xdr:spPr bwMode="auto">
              <a:xfrm>
                <a:off x="11655028" y="4000499"/>
                <a:ext cx="1120377" cy="37504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pl-PL" sz="11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Oblicz</a:t>
                </a:r>
              </a:p>
            </xdr:txBody>
          </xdr:sp>
          <xdr:sp macro="" textlink="">
            <xdr:nvSpPr>
              <xdr:cNvPr id="1035" name="Check Box 11" hidden="1">
                <a:extLst>
                  <a:ext uri="{63B3BB69-23CF-44E3-9099-C40C66FF867C}">
                    <a14:compatExt spid="_x0000_s1035"/>
                  </a:ext>
                  <a:ext uri="{FF2B5EF4-FFF2-40B4-BE49-F238E27FC236}">
                    <a16:creationId xmlns:a16="http://schemas.microsoft.com/office/drawing/2014/main" id="{00000000-0008-0000-0000-00000B040000}"/>
                  </a:ext>
                </a:extLst>
              </xdr:cNvPr>
              <xdr:cNvSpPr/>
            </xdr:nvSpPr>
            <xdr:spPr bwMode="auto">
              <a:xfrm>
                <a:off x="11808580" y="3739852"/>
                <a:ext cx="624685" cy="174988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pl-PL" sz="800" b="0" i="0" u="none" strike="noStrike" baseline="0">
                    <a:solidFill>
                      <a:srgbClr val="000000"/>
                    </a:solidFill>
                    <a:latin typeface="Segoe UI"/>
                    <a:cs typeface="Segoe UI"/>
                  </a:rPr>
                  <a:t>Metoda Falsi</a:t>
                </a:r>
              </a:p>
            </xdr:txBody>
          </xdr:sp>
          <xdr:sp macro="" textlink="">
            <xdr:nvSpPr>
              <xdr:cNvPr id="1036" name="Group Box 12" hidden="1">
                <a:extLst>
                  <a:ext uri="{63B3BB69-23CF-44E3-9099-C40C66FF867C}">
                    <a14:compatExt spid="_x0000_s1036"/>
                  </a:ext>
                  <a:ext uri="{FF2B5EF4-FFF2-40B4-BE49-F238E27FC236}">
                    <a16:creationId xmlns:a16="http://schemas.microsoft.com/office/drawing/2014/main" id="{00000000-0008-0000-0000-00000C040000}"/>
                  </a:ext>
                </a:extLst>
              </xdr:cNvPr>
              <xdr:cNvSpPr/>
            </xdr:nvSpPr>
            <xdr:spPr bwMode="auto">
              <a:xfrm>
                <a:off x="11555005" y="3324225"/>
                <a:ext cx="1321593" cy="115847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  <a:extLst>
                <a:ext uri="{909E8E84-426E-40DD-AFC4-6F175D3DCCD1}">
                  <a14:hiddenFill>
                    <a:noFill/>
                  </a14:hiddenFill>
                </a:ext>
              </a:extLst>
            </xdr:spPr>
            <xdr:txBody>
              <a:bodyPr vertOverflow="clip" wrap="none" lIns="27432" tIns="18288" rIns="0" bIns="0" anchor="t" upright="1"/>
              <a:lstStyle/>
              <a:p>
                <a:pPr algn="l" rtl="0">
                  <a:defRPr sz="1000"/>
                </a:pPr>
                <a:r>
                  <a:rPr lang="pl-PL" sz="800" b="0" i="0" u="none" strike="noStrike" baseline="0">
                    <a:solidFill>
                      <a:srgbClr val="000000"/>
                    </a:solidFill>
                    <a:latin typeface="Segoe UI"/>
                    <a:cs typeface="Segoe UI"/>
                  </a:rPr>
                  <a:t>Proszę wybrać metody numeryczne</a:t>
                </a:r>
              </a:p>
            </xdr:txBody>
          </xdr:sp>
        </xdr:grpSp>
        <xdr:clientData/>
      </xdr:twoCellAnchor>
    </mc:Choice>
    <mc:Fallback/>
  </mc:AlternateContent>
  <xdr:twoCellAnchor>
    <xdr:from>
      <xdr:col>1</xdr:col>
      <xdr:colOff>0</xdr:colOff>
      <xdr:row>5</xdr:row>
      <xdr:rowOff>190499</xdr:rowOff>
    </xdr:from>
    <xdr:to>
      <xdr:col>16</xdr:col>
      <xdr:colOff>371475</xdr:colOff>
      <xdr:row>31</xdr:row>
      <xdr:rowOff>180974</xdr:rowOff>
    </xdr:to>
    <xdr:graphicFrame macro="">
      <xdr:nvGraphicFramePr>
        <xdr:cNvPr id="6" name="Wykres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533400</xdr:colOff>
          <xdr:row>11</xdr:row>
          <xdr:rowOff>57150</xdr:rowOff>
        </xdr:from>
        <xdr:to>
          <xdr:col>23</xdr:col>
          <xdr:colOff>533400</xdr:colOff>
          <xdr:row>13</xdr:row>
          <xdr:rowOff>57150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Wyczyść wyniki</a:t>
              </a:r>
            </a:p>
          </xdr:txBody>
        </xdr:sp>
        <xdr:clientData fLocksWithSheet="0"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omments" Target="../comments1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rkusz1"/>
  <dimension ref="A1:AW34"/>
  <sheetViews>
    <sheetView tabSelected="1" zoomScaleNormal="100" workbookViewId="0">
      <selection activeCell="G5" sqref="G5"/>
    </sheetView>
  </sheetViews>
  <sheetFormatPr defaultColWidth="0" defaultRowHeight="15" zeroHeight="1" x14ac:dyDescent="0.25"/>
  <cols>
    <col min="1" max="1" width="2" style="15" customWidth="1"/>
    <col min="2" max="2" width="11.85546875" style="15" bestFit="1" customWidth="1"/>
    <col min="3" max="4" width="5.7109375" style="15" customWidth="1"/>
    <col min="5" max="5" width="2.140625" style="15" customWidth="1"/>
    <col min="6" max="7" width="5.7109375" style="15" customWidth="1"/>
    <col min="8" max="8" width="2.140625" style="15" customWidth="1"/>
    <col min="9" max="10" width="5.7109375" style="15" customWidth="1"/>
    <col min="11" max="11" width="2.140625" style="15" customWidth="1"/>
    <col min="12" max="13" width="5.7109375" style="15" customWidth="1"/>
    <col min="14" max="14" width="2.140625" style="15" customWidth="1"/>
    <col min="15" max="15" width="5.7109375" style="15" customWidth="1"/>
    <col min="16" max="16" width="2.140625" style="15" customWidth="1"/>
    <col min="17" max="17" width="9.140625" style="15" customWidth="1"/>
    <col min="18" max="19" width="12" style="15" customWidth="1"/>
    <col min="20" max="20" width="12.140625" style="15" customWidth="1"/>
    <col min="21" max="21" width="12.28515625" style="15" bestFit="1" customWidth="1"/>
    <col min="22" max="25" width="9.140625" style="15" customWidth="1"/>
    <col min="26" max="26" width="2" customWidth="1"/>
    <col min="27" max="16384" width="9.140625" hidden="1"/>
  </cols>
  <sheetData>
    <row r="1" spans="2:49" ht="10.5" customHeight="1" x14ac:dyDescent="0.25">
      <c r="Z1" s="15"/>
      <c r="AC1" s="10" t="s">
        <v>7</v>
      </c>
      <c r="AD1" s="10"/>
      <c r="AE1" s="10"/>
    </row>
    <row r="2" spans="2:49" x14ac:dyDescent="0.25">
      <c r="B2" s="11" t="s">
        <v>12</v>
      </c>
      <c r="C2" s="11"/>
      <c r="D2" s="8">
        <v>3</v>
      </c>
      <c r="E2" s="11"/>
      <c r="F2" s="11"/>
      <c r="G2" s="8">
        <v>2</v>
      </c>
      <c r="H2" s="11"/>
      <c r="I2" s="11"/>
      <c r="J2" s="8"/>
      <c r="K2" s="11"/>
      <c r="L2" s="11"/>
      <c r="M2" s="11"/>
      <c r="N2" s="11"/>
      <c r="O2" s="11"/>
      <c r="P2" s="11"/>
      <c r="Q2" s="11"/>
      <c r="R2" s="11"/>
      <c r="S2" s="11"/>
      <c r="T2" s="11"/>
      <c r="U2" s="11"/>
      <c r="V2" s="12"/>
      <c r="W2" s="11"/>
      <c r="X2" s="11"/>
      <c r="Y2" s="11"/>
      <c r="Z2" s="15"/>
      <c r="AA2" s="7"/>
      <c r="AB2" s="17" t="s">
        <v>8</v>
      </c>
      <c r="AC2" s="18" t="s">
        <v>0</v>
      </c>
      <c r="AD2" s="18"/>
      <c r="AE2" s="18" t="s">
        <v>15</v>
      </c>
      <c r="AF2" s="18"/>
      <c r="AG2" s="7"/>
      <c r="AH2" s="7"/>
      <c r="AI2" s="7"/>
      <c r="AJ2" s="7"/>
      <c r="AK2" s="7"/>
      <c r="AL2" s="7"/>
      <c r="AM2" s="7"/>
      <c r="AN2" s="7"/>
      <c r="AO2" s="7"/>
      <c r="AP2" s="7"/>
      <c r="AQ2" s="7"/>
      <c r="AR2" s="9" t="b">
        <v>1</v>
      </c>
      <c r="AS2" s="9" t="b">
        <v>1</v>
      </c>
      <c r="AT2" s="9" t="b">
        <v>0</v>
      </c>
      <c r="AU2" s="7"/>
      <c r="AV2" s="7"/>
      <c r="AW2" s="7"/>
    </row>
    <row r="3" spans="2:49" x14ac:dyDescent="0.25">
      <c r="B3" s="11" t="s">
        <v>13</v>
      </c>
      <c r="C3" s="8"/>
      <c r="D3" s="11" t="s">
        <v>0</v>
      </c>
      <c r="E3" s="11" t="s">
        <v>3</v>
      </c>
      <c r="F3" s="8">
        <v>1</v>
      </c>
      <c r="G3" s="11" t="s">
        <v>0</v>
      </c>
      <c r="H3" s="11" t="s">
        <v>3</v>
      </c>
      <c r="I3" s="8"/>
      <c r="J3" s="11" t="s">
        <v>0</v>
      </c>
      <c r="K3" s="11" t="s">
        <v>3</v>
      </c>
      <c r="L3" s="8"/>
      <c r="M3" s="11" t="s">
        <v>0</v>
      </c>
      <c r="N3" s="11" t="s">
        <v>3</v>
      </c>
      <c r="O3" s="8">
        <v>-7</v>
      </c>
      <c r="P3" s="11"/>
      <c r="Q3" s="11"/>
      <c r="R3" s="11"/>
      <c r="S3" s="11"/>
      <c r="T3" s="11"/>
      <c r="U3" s="11"/>
      <c r="V3" s="13"/>
      <c r="W3" s="13"/>
      <c r="X3" s="13"/>
      <c r="Y3" s="13"/>
      <c r="Z3" s="16"/>
      <c r="AA3" s="7"/>
      <c r="AB3" s="17" t="s">
        <v>9</v>
      </c>
      <c r="AC3" s="20">
        <v>2.645751953125</v>
      </c>
      <c r="AD3" s="20"/>
      <c r="AE3" s="20">
        <v>12</v>
      </c>
      <c r="AF3" s="20"/>
      <c r="AG3" s="7"/>
      <c r="AH3" s="7"/>
      <c r="AI3" s="7"/>
      <c r="AJ3" s="7"/>
      <c r="AK3" s="7"/>
      <c r="AL3" s="7"/>
      <c r="AM3" s="7"/>
      <c r="AN3" s="7"/>
      <c r="AO3" s="7"/>
      <c r="AP3" s="7"/>
      <c r="AQ3" s="7"/>
      <c r="AR3" s="7"/>
      <c r="AS3" s="7"/>
      <c r="AT3" s="7"/>
      <c r="AU3" s="7"/>
      <c r="AV3" s="7"/>
      <c r="AW3" s="7"/>
    </row>
    <row r="4" spans="2:49" x14ac:dyDescent="0.25">
      <c r="B4" s="11"/>
      <c r="C4" s="11"/>
      <c r="D4" s="11"/>
      <c r="E4" s="11"/>
      <c r="F4" s="11"/>
      <c r="G4" s="11"/>
      <c r="H4" s="11"/>
      <c r="I4" s="11"/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11"/>
      <c r="V4" s="13" t="s">
        <v>7</v>
      </c>
      <c r="W4" s="13"/>
      <c r="X4" s="13"/>
      <c r="Y4" s="13"/>
      <c r="Z4" s="16"/>
      <c r="AA4" s="7"/>
      <c r="AB4" s="7"/>
      <c r="AC4" s="7"/>
      <c r="AD4" s="7"/>
      <c r="AE4" s="7"/>
      <c r="AF4" s="7"/>
      <c r="AG4" s="7"/>
      <c r="AH4" s="7"/>
      <c r="AI4" s="7"/>
      <c r="AJ4" s="7"/>
      <c r="AK4" s="7"/>
      <c r="AL4" s="7"/>
      <c r="AM4" s="7"/>
      <c r="AN4" s="7"/>
      <c r="AO4" s="7"/>
      <c r="AP4" s="7"/>
      <c r="AQ4" s="7"/>
      <c r="AR4" s="7"/>
      <c r="AS4" s="7"/>
      <c r="AT4" s="7"/>
      <c r="AU4" s="7"/>
      <c r="AV4" s="7"/>
      <c r="AW4" s="7"/>
    </row>
    <row r="5" spans="2:49" x14ac:dyDescent="0.25">
      <c r="B5" s="11"/>
      <c r="C5" s="11"/>
      <c r="D5" s="11"/>
      <c r="E5" s="11" t="s">
        <v>4</v>
      </c>
      <c r="F5" s="8">
        <v>1</v>
      </c>
      <c r="G5" s="8">
        <v>4</v>
      </c>
      <c r="H5" s="11" t="s">
        <v>5</v>
      </c>
      <c r="I5" s="11"/>
      <c r="J5" s="11"/>
      <c r="K5" s="11"/>
      <c r="L5" s="11"/>
      <c r="M5" s="11"/>
      <c r="N5" s="11"/>
      <c r="O5" s="11"/>
      <c r="P5" s="11"/>
      <c r="Q5" s="8">
        <v>1.0000000000000001E-5</v>
      </c>
      <c r="R5" s="11"/>
      <c r="S5" s="11"/>
      <c r="T5" s="11"/>
      <c r="U5" s="14" t="s">
        <v>8</v>
      </c>
      <c r="V5" s="13" t="s">
        <v>14</v>
      </c>
      <c r="W5" s="13"/>
      <c r="X5" s="13" t="s">
        <v>6</v>
      </c>
      <c r="Y5" s="13"/>
      <c r="Z5" s="15"/>
      <c r="AB5" s="17" t="s">
        <v>11</v>
      </c>
      <c r="AC5" s="21">
        <v>2.6457513111113693</v>
      </c>
      <c r="AD5" s="21"/>
      <c r="AE5" s="21">
        <v>5</v>
      </c>
      <c r="AF5" s="21"/>
    </row>
    <row r="6" spans="2:49" x14ac:dyDescent="0.25">
      <c r="B6" s="11"/>
      <c r="C6" s="11"/>
      <c r="D6" s="11"/>
      <c r="E6" s="11"/>
      <c r="F6" s="11"/>
      <c r="G6" s="11"/>
      <c r="H6" s="11"/>
      <c r="I6" s="11"/>
      <c r="J6" s="11"/>
      <c r="K6" s="11"/>
      <c r="L6" s="11"/>
      <c r="M6" s="11"/>
      <c r="N6" s="11"/>
      <c r="O6" s="11"/>
      <c r="P6" s="11"/>
      <c r="Q6" s="11"/>
      <c r="R6" s="11"/>
      <c r="S6" s="11"/>
      <c r="T6" s="11"/>
      <c r="U6" s="14" t="s">
        <v>9</v>
      </c>
      <c r="V6" s="19">
        <f>$AC$3</f>
        <v>2.645751953125</v>
      </c>
      <c r="W6" s="19"/>
      <c r="X6" s="19">
        <f>$AE$3</f>
        <v>12</v>
      </c>
      <c r="Y6" s="19"/>
      <c r="Z6" s="15"/>
    </row>
    <row r="7" spans="2:49" x14ac:dyDescent="0.25">
      <c r="B7" s="11"/>
      <c r="C7" s="11"/>
      <c r="D7" s="11"/>
      <c r="E7" s="11"/>
      <c r="F7" s="11"/>
      <c r="G7" s="11"/>
      <c r="H7" s="11"/>
      <c r="I7" s="11"/>
      <c r="J7" s="11"/>
      <c r="K7" s="11"/>
      <c r="L7" s="11"/>
      <c r="M7" s="11"/>
      <c r="N7" s="11"/>
      <c r="O7" s="11"/>
      <c r="P7" s="11"/>
      <c r="Q7" s="11"/>
      <c r="R7" s="11"/>
      <c r="S7" s="11"/>
      <c r="T7" s="11"/>
      <c r="U7" s="11"/>
      <c r="V7" s="12"/>
      <c r="W7" s="11"/>
      <c r="X7" s="11"/>
      <c r="Y7" s="11"/>
      <c r="Z7" s="15"/>
      <c r="AB7" s="17" t="s">
        <v>10</v>
      </c>
      <c r="AC7" s="21" t="s">
        <v>16</v>
      </c>
      <c r="AD7" s="21"/>
      <c r="AE7" s="21" t="s">
        <v>16</v>
      </c>
      <c r="AF7" s="21"/>
    </row>
    <row r="8" spans="2:49" x14ac:dyDescent="0.25">
      <c r="B8" s="11"/>
      <c r="C8" s="11"/>
      <c r="D8" s="11"/>
      <c r="E8" s="11"/>
      <c r="F8" s="11"/>
      <c r="G8" s="11"/>
      <c r="H8" s="11"/>
      <c r="I8" s="11"/>
      <c r="J8" s="11"/>
      <c r="K8" s="11"/>
      <c r="L8" s="11"/>
      <c r="M8" s="11"/>
      <c r="N8" s="11"/>
      <c r="O8" s="11"/>
      <c r="P8" s="11"/>
      <c r="Q8" s="11"/>
      <c r="R8" s="11"/>
      <c r="S8" s="11"/>
      <c r="T8" s="11"/>
      <c r="U8" s="14" t="s">
        <v>11</v>
      </c>
      <c r="V8" s="19">
        <f>$AC$5</f>
        <v>2.6457513111113693</v>
      </c>
      <c r="W8" s="19"/>
      <c r="X8" s="19">
        <f>$AE$5</f>
        <v>5</v>
      </c>
      <c r="Y8" s="19"/>
      <c r="Z8" s="15"/>
    </row>
    <row r="9" spans="2:49" x14ac:dyDescent="0.25">
      <c r="B9" s="11"/>
      <c r="C9" s="11"/>
      <c r="D9" s="11"/>
      <c r="E9" s="11"/>
      <c r="F9" s="11"/>
      <c r="G9" s="11"/>
      <c r="H9" s="11"/>
      <c r="I9" s="11"/>
      <c r="J9" s="11"/>
      <c r="K9" s="11"/>
      <c r="L9" s="11"/>
      <c r="M9" s="11"/>
      <c r="N9" s="11"/>
      <c r="O9" s="11"/>
      <c r="P9" s="11"/>
      <c r="Q9" s="11"/>
      <c r="R9" s="11"/>
      <c r="S9" s="11"/>
      <c r="T9" s="11"/>
      <c r="U9" s="11"/>
      <c r="V9" s="11"/>
      <c r="W9" s="11"/>
      <c r="X9" s="11"/>
      <c r="Y9" s="11"/>
      <c r="Z9" s="15"/>
    </row>
    <row r="10" spans="2:49" x14ac:dyDescent="0.25">
      <c r="B10" s="11"/>
      <c r="C10" s="11"/>
      <c r="D10" s="11"/>
      <c r="E10" s="11"/>
      <c r="F10" s="11"/>
      <c r="G10" s="11"/>
      <c r="H10" s="11"/>
      <c r="I10" s="11"/>
      <c r="J10" s="11"/>
      <c r="K10" s="11"/>
      <c r="L10" s="11"/>
      <c r="M10" s="11"/>
      <c r="N10" s="11"/>
      <c r="O10" s="11"/>
      <c r="P10" s="11"/>
      <c r="Q10" s="11"/>
      <c r="R10" s="11"/>
      <c r="S10" s="11"/>
      <c r="T10" s="11"/>
      <c r="U10" s="14" t="s">
        <v>10</v>
      </c>
      <c r="V10" s="19" t="str">
        <f>$AC$7</f>
        <v>Nieaktywna</v>
      </c>
      <c r="W10" s="19"/>
      <c r="X10" s="19" t="str">
        <f>$AE$7</f>
        <v>Nieaktywna</v>
      </c>
      <c r="Y10" s="19"/>
      <c r="Z10" s="15"/>
    </row>
    <row r="11" spans="2:49" x14ac:dyDescent="0.25">
      <c r="B11" s="11"/>
      <c r="C11" s="11"/>
      <c r="D11" s="11"/>
      <c r="E11" s="11"/>
      <c r="F11" s="11"/>
      <c r="G11" s="11"/>
      <c r="H11" s="11"/>
      <c r="I11" s="11"/>
      <c r="J11" s="11"/>
      <c r="K11" s="11"/>
      <c r="L11" s="11"/>
      <c r="M11" s="11"/>
      <c r="N11" s="11"/>
      <c r="O11" s="11"/>
      <c r="P11" s="11"/>
      <c r="Q11" s="11"/>
      <c r="R11" s="6" t="s">
        <v>0</v>
      </c>
      <c r="S11" s="1" t="s">
        <v>1</v>
      </c>
      <c r="T11" s="2" t="s">
        <v>2</v>
      </c>
      <c r="U11" s="11"/>
      <c r="V11" s="11"/>
      <c r="W11" s="11"/>
      <c r="X11" s="11"/>
      <c r="Y11" s="11"/>
      <c r="Z11" s="15"/>
    </row>
    <row r="12" spans="2:49" x14ac:dyDescent="0.25">
      <c r="B12" s="11"/>
      <c r="C12" s="11"/>
      <c r="D12" s="11"/>
      <c r="E12" s="11"/>
      <c r="F12" s="11"/>
      <c r="G12" s="11"/>
      <c r="H12" s="11"/>
      <c r="I12" s="11"/>
      <c r="J12" s="11"/>
      <c r="K12" s="11"/>
      <c r="L12" s="11"/>
      <c r="M12" s="11"/>
      <c r="N12" s="11"/>
      <c r="O12" s="11"/>
      <c r="P12" s="11"/>
      <c r="Q12" s="11"/>
      <c r="R12" s="5">
        <f>-5</f>
        <v>-5</v>
      </c>
      <c r="S12" s="4">
        <f>$C$3*(R12)^$AC$16+$F$3*(R12)^$AC$17+I3*(R12)^$AC$18+$L$3*R12+$O$3</f>
        <v>18</v>
      </c>
      <c r="T12" s="3">
        <f>IF($AC$18-1 &lt;=0,$C$3,$AC$16*$C$3*(R12)^($AC$16-1))+IF($AC$17-1 &lt;= 0,$F$3,$AC$17*$F$3*(R12)^($AC$17-1))+IF($AC$18-1 &lt;= 0,$I$3,$AC$18*$I$3*(R12)^($AC$18-1)+$L$3)</f>
        <v>-10</v>
      </c>
      <c r="U12" s="11"/>
      <c r="V12" s="11"/>
      <c r="W12" s="11"/>
      <c r="X12" s="11"/>
      <c r="Y12" s="11"/>
      <c r="Z12" s="15"/>
    </row>
    <row r="13" spans="2:49" x14ac:dyDescent="0.25">
      <c r="B13" s="11"/>
      <c r="C13" s="11"/>
      <c r="D13" s="11"/>
      <c r="E13" s="11"/>
      <c r="F13" s="11"/>
      <c r="G13" s="11"/>
      <c r="H13" s="11"/>
      <c r="I13" s="11"/>
      <c r="J13" s="11"/>
      <c r="K13" s="11"/>
      <c r="L13" s="11"/>
      <c r="M13" s="11"/>
      <c r="N13" s="11"/>
      <c r="O13" s="11"/>
      <c r="P13" s="11"/>
      <c r="Q13" s="11"/>
      <c r="R13" s="5">
        <f>R12+0.5</f>
        <v>-4.5</v>
      </c>
      <c r="S13" s="4">
        <f t="shared" ref="S13:S32" si="0">$C$3*(R13)^$AC$16+$F$3*(R13)^$AC$17+I4*(R13)^$AC$18+$L$3*R13+$O$3</f>
        <v>13.25</v>
      </c>
      <c r="T13" s="3">
        <f t="shared" ref="T13:T32" si="1">IF($AC$18-1 &lt;=0,$C$3,$AC$16*$C$3*(R13)^($AC$16-1))+IF($AC$17-1 &lt;= 0,$F$3,$AC$17*$F$3*(R13)^($AC$17-1))+IF($AC$18-1 &lt;= 0,$I$3,$AC$18*$I$3*(R13)^($AC$18-1)+$L$3)</f>
        <v>-9</v>
      </c>
      <c r="U13" s="11"/>
      <c r="V13" s="11"/>
      <c r="W13" s="11"/>
      <c r="X13" s="11"/>
      <c r="Y13" s="11"/>
      <c r="Z13" s="15"/>
    </row>
    <row r="14" spans="2:49" x14ac:dyDescent="0.25">
      <c r="B14" s="11"/>
      <c r="C14" s="11"/>
      <c r="D14" s="11"/>
      <c r="E14" s="11"/>
      <c r="F14" s="11"/>
      <c r="G14" s="11"/>
      <c r="H14" s="11"/>
      <c r="I14" s="11"/>
      <c r="J14" s="11"/>
      <c r="K14" s="11"/>
      <c r="L14" s="11"/>
      <c r="M14" s="11"/>
      <c r="N14" s="11"/>
      <c r="O14" s="11"/>
      <c r="P14" s="11"/>
      <c r="Q14" s="11"/>
      <c r="R14" s="5">
        <f t="shared" ref="R14:R32" si="2">R13+0.5</f>
        <v>-4</v>
      </c>
      <c r="S14" s="4">
        <f t="shared" si="0"/>
        <v>9</v>
      </c>
      <c r="T14" s="3">
        <f t="shared" si="1"/>
        <v>-8</v>
      </c>
      <c r="U14" s="11"/>
      <c r="V14" s="11"/>
      <c r="W14" s="11"/>
      <c r="X14" s="11"/>
      <c r="Y14" s="11"/>
      <c r="Z14" s="15"/>
    </row>
    <row r="15" spans="2:49" x14ac:dyDescent="0.25">
      <c r="B15" s="11"/>
      <c r="C15" s="11"/>
      <c r="D15" s="11"/>
      <c r="E15" s="11"/>
      <c r="F15" s="11"/>
      <c r="G15" s="11"/>
      <c r="H15" s="11"/>
      <c r="I15" s="11"/>
      <c r="J15" s="11"/>
      <c r="K15" s="11"/>
      <c r="L15" s="11"/>
      <c r="M15" s="11"/>
      <c r="N15" s="11"/>
      <c r="O15" s="11"/>
      <c r="P15" s="11"/>
      <c r="Q15" s="11"/>
      <c r="R15" s="5">
        <f t="shared" si="2"/>
        <v>-3.5</v>
      </c>
      <c r="S15" s="4">
        <f t="shared" si="0"/>
        <v>5.25</v>
      </c>
      <c r="T15" s="3">
        <f t="shared" si="1"/>
        <v>-7</v>
      </c>
      <c r="U15" s="11"/>
      <c r="V15" s="11"/>
      <c r="W15" s="11"/>
      <c r="X15" s="11"/>
      <c r="Y15" s="11"/>
      <c r="Z15" s="15"/>
    </row>
    <row r="16" spans="2:49" x14ac:dyDescent="0.25">
      <c r="B16" s="11"/>
      <c r="C16" s="11"/>
      <c r="D16" s="11"/>
      <c r="E16" s="11"/>
      <c r="F16" s="11"/>
      <c r="G16" s="11"/>
      <c r="H16" s="11"/>
      <c r="I16" s="11"/>
      <c r="J16" s="11"/>
      <c r="K16" s="11"/>
      <c r="L16" s="11"/>
      <c r="M16" s="11"/>
      <c r="N16" s="11"/>
      <c r="O16" s="11"/>
      <c r="P16" s="11"/>
      <c r="Q16" s="11"/>
      <c r="R16" s="5">
        <f t="shared" si="2"/>
        <v>-3</v>
      </c>
      <c r="S16" s="4">
        <f t="shared" si="0"/>
        <v>2</v>
      </c>
      <c r="T16" s="3">
        <f t="shared" si="1"/>
        <v>-6</v>
      </c>
      <c r="U16" s="11"/>
      <c r="V16" s="11"/>
      <c r="W16" s="11"/>
      <c r="X16" s="11"/>
      <c r="Y16" s="11"/>
      <c r="Z16" s="15"/>
      <c r="AC16">
        <f>IF(D2 &lt;= 0, 1,D2)</f>
        <v>3</v>
      </c>
    </row>
    <row r="17" spans="2:29" x14ac:dyDescent="0.25">
      <c r="B17" s="11"/>
      <c r="C17" s="11"/>
      <c r="D17" s="11"/>
      <c r="E17" s="11"/>
      <c r="F17" s="11"/>
      <c r="G17" s="11"/>
      <c r="H17" s="11"/>
      <c r="I17" s="11"/>
      <c r="J17" s="11"/>
      <c r="K17" s="11"/>
      <c r="L17" s="11"/>
      <c r="M17" s="11"/>
      <c r="N17" s="11"/>
      <c r="O17" s="11"/>
      <c r="P17" s="11"/>
      <c r="Q17" s="11"/>
      <c r="R17" s="5">
        <f t="shared" si="2"/>
        <v>-2.5</v>
      </c>
      <c r="S17" s="4">
        <f t="shared" si="0"/>
        <v>-0.75</v>
      </c>
      <c r="T17" s="3">
        <f t="shared" si="1"/>
        <v>-5</v>
      </c>
      <c r="U17" s="11"/>
      <c r="V17" s="11"/>
      <c r="W17" s="11"/>
      <c r="X17" s="11"/>
      <c r="Y17" s="11"/>
      <c r="Z17" s="15"/>
      <c r="AC17">
        <f>IF(G2 &lt;= 0, 1,G2)</f>
        <v>2</v>
      </c>
    </row>
    <row r="18" spans="2:29" x14ac:dyDescent="0.25">
      <c r="B18" s="11"/>
      <c r="C18" s="11"/>
      <c r="D18" s="11"/>
      <c r="E18" s="11"/>
      <c r="F18" s="11"/>
      <c r="G18" s="11"/>
      <c r="H18" s="11"/>
      <c r="I18" s="11"/>
      <c r="J18" s="11"/>
      <c r="K18" s="11"/>
      <c r="L18" s="11"/>
      <c r="M18" s="11"/>
      <c r="N18" s="11"/>
      <c r="O18" s="11"/>
      <c r="P18" s="11"/>
      <c r="Q18" s="11"/>
      <c r="R18" s="5">
        <f t="shared" si="2"/>
        <v>-2</v>
      </c>
      <c r="S18" s="4">
        <f t="shared" si="0"/>
        <v>-3</v>
      </c>
      <c r="T18" s="3">
        <f t="shared" si="1"/>
        <v>-4</v>
      </c>
      <c r="U18" s="11"/>
      <c r="V18" s="11"/>
      <c r="W18" s="11"/>
      <c r="X18" s="11"/>
      <c r="Y18" s="11"/>
      <c r="Z18" s="15"/>
      <c r="AC18">
        <f>IF(J2 &lt;= 0, 1,J2)</f>
        <v>1</v>
      </c>
    </row>
    <row r="19" spans="2:29" x14ac:dyDescent="0.25">
      <c r="B19" s="11"/>
      <c r="C19" s="11"/>
      <c r="D19" s="11"/>
      <c r="E19" s="11"/>
      <c r="F19" s="11"/>
      <c r="G19" s="11"/>
      <c r="H19" s="11"/>
      <c r="I19" s="11"/>
      <c r="J19" s="11"/>
      <c r="K19" s="11"/>
      <c r="L19" s="11"/>
      <c r="M19" s="11"/>
      <c r="N19" s="11"/>
      <c r="O19" s="11"/>
      <c r="P19" s="11"/>
      <c r="Q19" s="11"/>
      <c r="R19" s="5">
        <f t="shared" si="2"/>
        <v>-1.5</v>
      </c>
      <c r="S19" s="4">
        <f t="shared" si="0"/>
        <v>-4.75</v>
      </c>
      <c r="T19" s="3">
        <f t="shared" si="1"/>
        <v>-3</v>
      </c>
      <c r="U19" s="11"/>
      <c r="V19" s="11"/>
      <c r="W19" s="11"/>
      <c r="X19" s="11"/>
      <c r="Y19" s="11"/>
      <c r="Z19" s="15"/>
    </row>
    <row r="20" spans="2:29" x14ac:dyDescent="0.25">
      <c r="B20" s="11"/>
      <c r="C20" s="11"/>
      <c r="D20" s="11"/>
      <c r="E20" s="11"/>
      <c r="F20" s="11"/>
      <c r="G20" s="11"/>
      <c r="H20" s="11"/>
      <c r="I20" s="11"/>
      <c r="J20" s="11"/>
      <c r="K20" s="11"/>
      <c r="L20" s="11"/>
      <c r="M20" s="11"/>
      <c r="N20" s="11"/>
      <c r="O20" s="11"/>
      <c r="P20" s="11"/>
      <c r="Q20" s="11"/>
      <c r="R20" s="5">
        <f t="shared" si="2"/>
        <v>-1</v>
      </c>
      <c r="S20" s="4">
        <f t="shared" si="0"/>
        <v>-6</v>
      </c>
      <c r="T20" s="3">
        <f t="shared" si="1"/>
        <v>-2</v>
      </c>
      <c r="U20" s="11"/>
      <c r="V20" s="11"/>
      <c r="W20" s="11"/>
      <c r="X20" s="11"/>
      <c r="Y20" s="11"/>
      <c r="Z20" s="15"/>
    </row>
    <row r="21" spans="2:29" x14ac:dyDescent="0.25">
      <c r="B21" s="11"/>
      <c r="C21" s="11"/>
      <c r="D21" s="11"/>
      <c r="E21" s="11"/>
      <c r="F21" s="11"/>
      <c r="G21" s="11"/>
      <c r="H21" s="11"/>
      <c r="I21" s="11"/>
      <c r="J21" s="11"/>
      <c r="K21" s="11"/>
      <c r="L21" s="11"/>
      <c r="M21" s="11"/>
      <c r="N21" s="11"/>
      <c r="O21" s="11"/>
      <c r="P21" s="11"/>
      <c r="Q21" s="11"/>
      <c r="R21" s="5">
        <f t="shared" si="2"/>
        <v>-0.5</v>
      </c>
      <c r="S21" s="4">
        <f t="shared" si="0"/>
        <v>-6.75</v>
      </c>
      <c r="T21" s="3">
        <f t="shared" si="1"/>
        <v>-1</v>
      </c>
      <c r="U21" s="11"/>
      <c r="V21" s="11"/>
      <c r="W21" s="11"/>
      <c r="X21" s="11"/>
      <c r="Y21" s="11"/>
      <c r="Z21" s="15"/>
    </row>
    <row r="22" spans="2:29" x14ac:dyDescent="0.25">
      <c r="B22" s="11"/>
      <c r="C22" s="11"/>
      <c r="D22" s="11"/>
      <c r="E22" s="11"/>
      <c r="F22" s="11"/>
      <c r="G22" s="11"/>
      <c r="H22" s="11"/>
      <c r="I22" s="11"/>
      <c r="J22" s="11"/>
      <c r="K22" s="11"/>
      <c r="L22" s="11"/>
      <c r="M22" s="11"/>
      <c r="N22" s="11"/>
      <c r="O22" s="11"/>
      <c r="P22" s="11"/>
      <c r="Q22" s="11"/>
      <c r="R22" s="5">
        <f t="shared" si="2"/>
        <v>0</v>
      </c>
      <c r="S22" s="4">
        <f t="shared" si="0"/>
        <v>-7</v>
      </c>
      <c r="T22" s="3">
        <f t="shared" si="1"/>
        <v>0</v>
      </c>
      <c r="U22" s="11"/>
      <c r="V22" s="11"/>
      <c r="W22" s="11"/>
      <c r="X22" s="11"/>
      <c r="Y22" s="11"/>
      <c r="Z22" s="15"/>
    </row>
    <row r="23" spans="2:29" x14ac:dyDescent="0.25">
      <c r="B23" s="11"/>
      <c r="C23" s="11"/>
      <c r="D23" s="11"/>
      <c r="E23" s="11"/>
      <c r="F23" s="11"/>
      <c r="G23" s="11"/>
      <c r="H23" s="11"/>
      <c r="I23" s="11"/>
      <c r="J23" s="11"/>
      <c r="K23" s="11"/>
      <c r="L23" s="11"/>
      <c r="M23" s="11"/>
      <c r="N23" s="11"/>
      <c r="O23" s="11"/>
      <c r="P23" s="11"/>
      <c r="Q23" s="11"/>
      <c r="R23" s="5">
        <f t="shared" si="2"/>
        <v>0.5</v>
      </c>
      <c r="S23" s="4">
        <f t="shared" si="0"/>
        <v>-6.75</v>
      </c>
      <c r="T23" s="3">
        <f t="shared" si="1"/>
        <v>1</v>
      </c>
      <c r="U23" s="11"/>
      <c r="V23" s="11"/>
      <c r="W23" s="11"/>
      <c r="X23" s="11"/>
      <c r="Y23" s="11"/>
      <c r="Z23" s="15"/>
    </row>
    <row r="24" spans="2:29" x14ac:dyDescent="0.25">
      <c r="B24" s="11"/>
      <c r="C24" s="11"/>
      <c r="D24" s="11"/>
      <c r="E24" s="11"/>
      <c r="F24" s="11"/>
      <c r="G24" s="11"/>
      <c r="H24" s="11"/>
      <c r="I24" s="11"/>
      <c r="J24" s="11"/>
      <c r="K24" s="11"/>
      <c r="L24" s="11"/>
      <c r="M24" s="11"/>
      <c r="N24" s="11"/>
      <c r="O24" s="11"/>
      <c r="P24" s="11"/>
      <c r="Q24" s="11"/>
      <c r="R24" s="5">
        <f t="shared" si="2"/>
        <v>1</v>
      </c>
      <c r="S24" s="4">
        <f t="shared" si="0"/>
        <v>-6</v>
      </c>
      <c r="T24" s="3">
        <f t="shared" si="1"/>
        <v>2</v>
      </c>
      <c r="U24" s="11"/>
      <c r="V24" s="11"/>
      <c r="W24" s="11"/>
      <c r="X24" s="11"/>
      <c r="Y24" s="11"/>
      <c r="Z24" s="15"/>
    </row>
    <row r="25" spans="2:29" x14ac:dyDescent="0.25">
      <c r="B25" s="11"/>
      <c r="C25" s="11"/>
      <c r="D25" s="11"/>
      <c r="E25" s="11"/>
      <c r="F25" s="11"/>
      <c r="G25" s="11"/>
      <c r="H25" s="11"/>
      <c r="I25" s="11"/>
      <c r="J25" s="11"/>
      <c r="K25" s="11"/>
      <c r="L25" s="11"/>
      <c r="M25" s="11"/>
      <c r="N25" s="11"/>
      <c r="O25" s="11"/>
      <c r="P25" s="11"/>
      <c r="Q25" s="11"/>
      <c r="R25" s="5">
        <f t="shared" si="2"/>
        <v>1.5</v>
      </c>
      <c r="S25" s="4">
        <f t="shared" si="0"/>
        <v>-4.75</v>
      </c>
      <c r="T25" s="3">
        <f t="shared" si="1"/>
        <v>3</v>
      </c>
      <c r="U25" s="11"/>
      <c r="V25" s="11"/>
      <c r="W25" s="11"/>
      <c r="X25" s="11"/>
      <c r="Y25" s="11"/>
      <c r="Z25" s="15"/>
    </row>
    <row r="26" spans="2:29" x14ac:dyDescent="0.25">
      <c r="B26" s="11"/>
      <c r="C26" s="11"/>
      <c r="D26" s="11"/>
      <c r="E26" s="11"/>
      <c r="F26" s="11"/>
      <c r="G26" s="11"/>
      <c r="H26" s="11"/>
      <c r="I26" s="11"/>
      <c r="J26" s="11"/>
      <c r="K26" s="11"/>
      <c r="L26" s="11"/>
      <c r="M26" s="11"/>
      <c r="N26" s="11"/>
      <c r="O26" s="11"/>
      <c r="P26" s="11"/>
      <c r="Q26" s="11"/>
      <c r="R26" s="5">
        <f t="shared" si="2"/>
        <v>2</v>
      </c>
      <c r="S26" s="4">
        <f t="shared" si="0"/>
        <v>-3</v>
      </c>
      <c r="T26" s="3">
        <f t="shared" si="1"/>
        <v>4</v>
      </c>
      <c r="U26" s="11"/>
      <c r="V26" s="11"/>
      <c r="W26" s="11"/>
      <c r="X26" s="11"/>
      <c r="Y26" s="11"/>
      <c r="Z26" s="15"/>
    </row>
    <row r="27" spans="2:29" x14ac:dyDescent="0.25">
      <c r="B27" s="11"/>
      <c r="C27" s="11"/>
      <c r="D27" s="11"/>
      <c r="E27" s="11"/>
      <c r="F27" s="11"/>
      <c r="G27" s="11"/>
      <c r="H27" s="11"/>
      <c r="I27" s="11"/>
      <c r="J27" s="11"/>
      <c r="K27" s="11"/>
      <c r="L27" s="11"/>
      <c r="M27" s="11"/>
      <c r="N27" s="11"/>
      <c r="O27" s="11"/>
      <c r="P27" s="11"/>
      <c r="Q27" s="11"/>
      <c r="R27" s="5">
        <f t="shared" si="2"/>
        <v>2.5</v>
      </c>
      <c r="S27" s="4">
        <f t="shared" si="0"/>
        <v>-0.75</v>
      </c>
      <c r="T27" s="3">
        <f t="shared" si="1"/>
        <v>5</v>
      </c>
      <c r="U27" s="11"/>
      <c r="V27" s="11"/>
      <c r="W27" s="11"/>
      <c r="X27" s="11"/>
      <c r="Y27" s="11"/>
      <c r="Z27" s="15"/>
    </row>
    <row r="28" spans="2:29" x14ac:dyDescent="0.25">
      <c r="B28" s="11"/>
      <c r="C28" s="11"/>
      <c r="D28" s="11"/>
      <c r="E28" s="11"/>
      <c r="F28" s="11"/>
      <c r="G28" s="11"/>
      <c r="H28" s="11"/>
      <c r="I28" s="11"/>
      <c r="J28" s="11"/>
      <c r="K28" s="11"/>
      <c r="L28" s="11"/>
      <c r="M28" s="11"/>
      <c r="N28" s="11"/>
      <c r="O28" s="11"/>
      <c r="P28" s="11"/>
      <c r="Q28" s="11"/>
      <c r="R28" s="5">
        <f t="shared" si="2"/>
        <v>3</v>
      </c>
      <c r="S28" s="4">
        <f t="shared" si="0"/>
        <v>2</v>
      </c>
      <c r="T28" s="3">
        <f t="shared" si="1"/>
        <v>6</v>
      </c>
      <c r="U28" s="11"/>
      <c r="V28" s="11"/>
      <c r="W28" s="11"/>
      <c r="X28" s="11"/>
      <c r="Y28" s="11"/>
      <c r="Z28" s="15"/>
    </row>
    <row r="29" spans="2:29" x14ac:dyDescent="0.25">
      <c r="B29" s="11"/>
      <c r="C29" s="11"/>
      <c r="D29" s="11"/>
      <c r="E29" s="11"/>
      <c r="F29" s="11"/>
      <c r="G29" s="11"/>
      <c r="H29" s="11"/>
      <c r="I29" s="11"/>
      <c r="J29" s="11"/>
      <c r="K29" s="11"/>
      <c r="L29" s="11"/>
      <c r="M29" s="11"/>
      <c r="N29" s="11"/>
      <c r="O29" s="11"/>
      <c r="P29" s="11"/>
      <c r="Q29" s="11"/>
      <c r="R29" s="5">
        <f t="shared" si="2"/>
        <v>3.5</v>
      </c>
      <c r="S29" s="4">
        <f t="shared" si="0"/>
        <v>5.25</v>
      </c>
      <c r="T29" s="3">
        <f t="shared" si="1"/>
        <v>7</v>
      </c>
      <c r="U29" s="11"/>
      <c r="V29" s="11"/>
      <c r="W29" s="11"/>
      <c r="X29" s="11"/>
      <c r="Y29" s="11"/>
      <c r="Z29" s="15"/>
    </row>
    <row r="30" spans="2:29" x14ac:dyDescent="0.25">
      <c r="B30" s="11"/>
      <c r="C30" s="11"/>
      <c r="D30" s="11"/>
      <c r="E30" s="11"/>
      <c r="F30" s="11"/>
      <c r="G30" s="11"/>
      <c r="H30" s="11"/>
      <c r="I30" s="11"/>
      <c r="J30" s="11"/>
      <c r="K30" s="11"/>
      <c r="L30" s="11"/>
      <c r="M30" s="11"/>
      <c r="N30" s="11"/>
      <c r="O30" s="11"/>
      <c r="P30" s="11"/>
      <c r="Q30" s="11"/>
      <c r="R30" s="5">
        <f t="shared" si="2"/>
        <v>4</v>
      </c>
      <c r="S30" s="4">
        <f t="shared" si="0"/>
        <v>9</v>
      </c>
      <c r="T30" s="3">
        <f t="shared" si="1"/>
        <v>8</v>
      </c>
      <c r="U30" s="11"/>
      <c r="V30" s="11"/>
      <c r="W30" s="11"/>
      <c r="X30" s="11"/>
      <c r="Y30" s="11"/>
      <c r="Z30" s="15"/>
    </row>
    <row r="31" spans="2:29" x14ac:dyDescent="0.25">
      <c r="B31" s="11"/>
      <c r="C31" s="11"/>
      <c r="D31" s="11"/>
      <c r="E31" s="11"/>
      <c r="F31" s="11"/>
      <c r="G31" s="11"/>
      <c r="H31" s="11"/>
      <c r="I31" s="11"/>
      <c r="J31" s="11"/>
      <c r="K31" s="11"/>
      <c r="L31" s="11"/>
      <c r="M31" s="11"/>
      <c r="N31" s="11"/>
      <c r="O31" s="11"/>
      <c r="P31" s="11"/>
      <c r="Q31" s="11"/>
      <c r="R31" s="5">
        <f t="shared" si="2"/>
        <v>4.5</v>
      </c>
      <c r="S31" s="4">
        <f t="shared" si="0"/>
        <v>13.25</v>
      </c>
      <c r="T31" s="3">
        <f t="shared" si="1"/>
        <v>9</v>
      </c>
      <c r="U31" s="11"/>
      <c r="V31" s="11"/>
      <c r="W31" s="11"/>
      <c r="X31" s="11"/>
      <c r="Y31" s="11"/>
      <c r="Z31" s="15"/>
    </row>
    <row r="32" spans="2:29" x14ac:dyDescent="0.25">
      <c r="B32" s="11"/>
      <c r="C32" s="11"/>
      <c r="D32" s="11"/>
      <c r="E32" s="11"/>
      <c r="F32" s="11"/>
      <c r="G32" s="11"/>
      <c r="H32" s="11"/>
      <c r="I32" s="11"/>
      <c r="J32" s="11"/>
      <c r="K32" s="11"/>
      <c r="L32" s="11"/>
      <c r="M32" s="11"/>
      <c r="N32" s="11"/>
      <c r="O32" s="11"/>
      <c r="P32" s="11"/>
      <c r="Q32" s="11"/>
      <c r="R32" s="5">
        <f t="shared" si="2"/>
        <v>5</v>
      </c>
      <c r="S32" s="4">
        <f t="shared" si="0"/>
        <v>18</v>
      </c>
      <c r="T32" s="3">
        <f t="shared" si="1"/>
        <v>10</v>
      </c>
      <c r="U32" s="11"/>
      <c r="V32" s="11"/>
      <c r="W32" s="11"/>
      <c r="X32" s="11"/>
      <c r="Y32" s="11"/>
      <c r="Z32" s="15"/>
    </row>
    <row r="33" spans="2:26" x14ac:dyDescent="0.25">
      <c r="B33" s="11"/>
      <c r="C33" s="11"/>
      <c r="D33" s="11"/>
      <c r="E33" s="11"/>
      <c r="F33" s="11"/>
      <c r="G33" s="11"/>
      <c r="H33" s="11"/>
      <c r="I33" s="11"/>
      <c r="J33" s="11"/>
      <c r="K33" s="11"/>
      <c r="L33" s="11"/>
      <c r="M33" s="11"/>
      <c r="N33" s="11"/>
      <c r="O33" s="11"/>
      <c r="P33" s="11"/>
      <c r="Q33" s="11"/>
      <c r="R33" s="11"/>
      <c r="S33" s="11"/>
      <c r="T33" s="11"/>
      <c r="U33" s="11"/>
      <c r="V33" s="11"/>
      <c r="W33" s="11"/>
      <c r="X33" s="11"/>
      <c r="Y33" s="11"/>
      <c r="Z33" s="15"/>
    </row>
    <row r="34" spans="2:26" ht="10.5" customHeight="1" x14ac:dyDescent="0.25">
      <c r="Z34" s="15"/>
    </row>
  </sheetData>
  <sheetProtection algorithmName="SHA-512" hashValue="XNR9Rjv6IecLcv7psUek4fns5WxcKVf9z8XIUW3eKSKkyoTs2l+9qI5eEOF6o6BlokHfz1v6gAjXL8WoRffzpg==" saltValue="CxM6t1cGh8paMR0EgjMB6A==" spinCount="100000" sheet="1" objects="1" scenarios="1" selectLockedCells="1"/>
  <mergeCells count="20">
    <mergeCell ref="AC5:AD5"/>
    <mergeCell ref="AE5:AF5"/>
    <mergeCell ref="AE7:AF7"/>
    <mergeCell ref="AC7:AD7"/>
    <mergeCell ref="AC1:AE1"/>
    <mergeCell ref="AC2:AD2"/>
    <mergeCell ref="AE2:AF2"/>
    <mergeCell ref="AC3:AD3"/>
    <mergeCell ref="AE3:AF3"/>
    <mergeCell ref="V10:W10"/>
    <mergeCell ref="X10:Y10"/>
    <mergeCell ref="X8:Y8"/>
    <mergeCell ref="V8:W8"/>
    <mergeCell ref="V6:W6"/>
    <mergeCell ref="X6:Y6"/>
    <mergeCell ref="X3:Y3"/>
    <mergeCell ref="V3:W3"/>
    <mergeCell ref="V4:Y4"/>
    <mergeCell ref="V5:W5"/>
    <mergeCell ref="X5:Y5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1" r:id="rId4" name="Check Box 7">
              <controlPr locked="0" defaultSize="0" autoFill="0" autoLine="0" autoPict="0">
                <anchor moveWithCells="1">
                  <from>
                    <xdr:col>17</xdr:col>
                    <xdr:colOff>428625</xdr:colOff>
                    <xdr:row>2</xdr:row>
                    <xdr:rowOff>28575</xdr:rowOff>
                  </from>
                  <to>
                    <xdr:col>19</xdr:col>
                    <xdr:colOff>209550</xdr:colOff>
                    <xdr:row>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5" name="Check Box 8">
              <controlPr locked="0" defaultSize="0" autoFill="0" autoLine="0" autoPict="0">
                <anchor moveWithCells="1">
                  <from>
                    <xdr:col>17</xdr:col>
                    <xdr:colOff>428625</xdr:colOff>
                    <xdr:row>3</xdr:row>
                    <xdr:rowOff>9525</xdr:rowOff>
                  </from>
                  <to>
                    <xdr:col>19</xdr:col>
                    <xdr:colOff>123825</xdr:colOff>
                    <xdr:row>4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6" name="Button 9">
              <controlPr locked="0" defaultSize="0" autoFill="0" autoPict="0" macro="[0]!Oblicz">
                <anchor moveWithCells="1" sizeWithCells="1">
                  <from>
                    <xdr:col>17</xdr:col>
                    <xdr:colOff>171450</xdr:colOff>
                    <xdr:row>5</xdr:row>
                    <xdr:rowOff>142875</xdr:rowOff>
                  </from>
                  <to>
                    <xdr:col>19</xdr:col>
                    <xdr:colOff>438150</xdr:colOff>
                    <xdr:row>8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7" name="Check Box 11">
              <controlPr locked="0" defaultSize="0" autoFill="0" autoLine="0" autoPict="0">
                <anchor moveWithCells="1">
                  <from>
                    <xdr:col>17</xdr:col>
                    <xdr:colOff>428625</xdr:colOff>
                    <xdr:row>4</xdr:row>
                    <xdr:rowOff>0</xdr:rowOff>
                  </from>
                  <to>
                    <xdr:col>18</xdr:col>
                    <xdr:colOff>666750</xdr:colOff>
                    <xdr:row>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8" name="Group Box 12">
              <controlPr defaultSize="0" autoFill="0" autoPict="0">
                <anchor moveWithCells="1">
                  <from>
                    <xdr:col>17</xdr:col>
                    <xdr:colOff>9525</xdr:colOff>
                    <xdr:row>1</xdr:row>
                    <xdr:rowOff>47625</xdr:rowOff>
                  </from>
                  <to>
                    <xdr:col>19</xdr:col>
                    <xdr:colOff>609600</xdr:colOff>
                    <xdr:row>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9" name="Button 13">
              <controlPr locked="0" defaultSize="0" print="0" autoFill="0" autoPict="0" macro="[0]!Wyczysc">
                <anchor moveWithCells="1" sizeWithCells="1">
                  <from>
                    <xdr:col>21</xdr:col>
                    <xdr:colOff>533400</xdr:colOff>
                    <xdr:row>11</xdr:row>
                    <xdr:rowOff>57150</xdr:rowOff>
                  </from>
                  <to>
                    <xdr:col>23</xdr:col>
                    <xdr:colOff>533400</xdr:colOff>
                    <xdr:row>13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1</vt:i4>
      </vt:variant>
    </vt:vector>
  </HeadingPairs>
  <TitlesOfParts>
    <vt:vector size="1" baseType="lpstr">
      <vt:lpstr>Arkusz1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Karol Namieciński</dc:creator>
  <cp:lastModifiedBy>Karol Namieciński</cp:lastModifiedBy>
  <dcterms:created xsi:type="dcterms:W3CDTF">2015-06-05T18:19:34Z</dcterms:created>
  <dcterms:modified xsi:type="dcterms:W3CDTF">2023-05-24T21:49:24Z</dcterms:modified>
</cp:coreProperties>
</file>