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Studia\4 semestr\Wprowadzenie do metod numerycznych ćw\Projekty\"/>
    </mc:Choice>
  </mc:AlternateContent>
  <xr:revisionPtr revIDLastSave="0" documentId="13_ncr:1_{E56506CF-43C3-43E9-9F3E-0B033B3F83F0}" xr6:coauthVersionLast="47" xr6:coauthVersionMax="47" xr10:uidLastSave="{00000000-0000-0000-0000-000000000000}"/>
  <bookViews>
    <workbookView xWindow="-120" yWindow="-120" windowWidth="29040" windowHeight="15720" xr2:uid="{F7F52B5B-2FD3-415B-9244-6911F99BDBCD}"/>
  </bookViews>
  <sheets>
    <sheet name="Arkusz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1" l="1"/>
  <c r="I4" i="1"/>
  <c r="V6" i="1"/>
  <c r="V7" i="1"/>
  <c r="V5" i="1"/>
  <c r="V10" i="1"/>
  <c r="V4" i="1"/>
  <c r="V3" i="1"/>
  <c r="P4" i="1" l="1"/>
  <c r="Q4" i="1" l="1"/>
  <c r="P5" i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Q5" i="1" l="1"/>
  <c r="Q18" i="1"/>
  <c r="Q20" i="1" l="1"/>
  <c r="Q12" i="1"/>
  <c r="Q13" i="1"/>
  <c r="Q17" i="1"/>
  <c r="Q14" i="1"/>
  <c r="Q8" i="1"/>
  <c r="Q16" i="1"/>
  <c r="Q11" i="1"/>
  <c r="Q10" i="1"/>
  <c r="Q9" i="1"/>
  <c r="Q7" i="1"/>
  <c r="Q6" i="1"/>
  <c r="Q15" i="1"/>
  <c r="Q21" i="1" l="1"/>
  <c r="Q19" i="1"/>
  <c r="Q22" i="1" l="1"/>
  <c r="Q23" i="1"/>
  <c r="Q2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Karol Namieciński</author>
  </authors>
  <commentList>
    <comment ref="C4" authorId="0" shapeId="0" xr:uid="{FCFFD726-A56F-4905-836D-1F96C3F73BA6}">
      <text>
        <r>
          <rPr>
            <b/>
            <sz val="9"/>
            <color indexed="81"/>
            <rFont val="Tahoma"/>
            <family val="2"/>
            <charset val="238"/>
          </rPr>
          <t>Punkty x, max 20 węzłów</t>
        </r>
      </text>
    </comment>
    <comment ref="L4" authorId="0" shapeId="0" xr:uid="{34EC4596-20B6-4224-B512-CE7A3CD73173}">
      <text>
        <r>
          <rPr>
            <b/>
            <sz val="9"/>
            <color indexed="81"/>
            <rFont val="Tahoma"/>
            <family val="2"/>
            <charset val="238"/>
          </rPr>
          <t>Znaleziona funkcja</t>
        </r>
      </text>
    </comment>
    <comment ref="D5" authorId="0" shapeId="0" xr:uid="{6B7F20C2-FD24-4E79-A8B0-B903BB770E97}">
      <text>
        <r>
          <rPr>
            <b/>
            <sz val="9"/>
            <color indexed="81"/>
            <rFont val="Tahoma"/>
            <family val="2"/>
            <charset val="238"/>
          </rPr>
          <t>Punkty y, max 20 węzłów</t>
        </r>
      </text>
    </comment>
  </commentList>
</comments>
</file>

<file path=xl/sharedStrings.xml><?xml version="1.0" encoding="utf-8"?>
<sst xmlns="http://schemas.openxmlformats.org/spreadsheetml/2006/main" count="17" uniqueCount="14">
  <si>
    <t>xi</t>
  </si>
  <si>
    <t>yi</t>
  </si>
  <si>
    <t>f(x)=</t>
  </si>
  <si>
    <t>+</t>
  </si>
  <si>
    <t>x</t>
  </si>
  <si>
    <t>f(x)</t>
  </si>
  <si>
    <t>∑xi^0 =</t>
  </si>
  <si>
    <t>∑xi^1 =</t>
  </si>
  <si>
    <t xml:space="preserve">∑xi^2 = </t>
  </si>
  <si>
    <t>∑yi =</t>
  </si>
  <si>
    <t>∑xiyi =</t>
  </si>
  <si>
    <t>xi^2</t>
  </si>
  <si>
    <t>xiyi</t>
  </si>
  <si>
    <t>Ilość węzłów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</si>
</sst>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sz val="36"/>
      <color rgb="FF000000"/>
      <name val="Calibri"/>
      <family val="2"/>
      <charset val="238"/>
    </font>
    <font>
      <b/>
      <sz val="9"/>
      <color indexed="81"/>
      <name val="Tahoma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right"/>
    </xf>
    <xf numFmtId="0" fontId="0" fillId="2" borderId="0" xfId="0" applyFill="1"/>
    <xf numFmtId="0" fontId="0" fillId="10" borderId="0" xfId="0" applyFill="1"/>
    <xf numFmtId="0" fontId="0" fillId="7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Protection="1">
      <protection locked="0"/>
    </xf>
    <xf numFmtId="0" fontId="0" fillId="8" borderId="0" xfId="0" applyFill="1" applyAlignment="1" applyProtection="1">
      <alignment horizontal="center"/>
      <protection locked="0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804721443717839E-2"/>
          <c:y val="0.10646656184361233"/>
          <c:w val="0.92412434321416037"/>
          <c:h val="0.81238171415890736"/>
        </c:manualLayout>
      </c:layout>
      <c:scatterChart>
        <c:scatterStyle val="lineMarker"/>
        <c:varyColors val="0"/>
        <c:ser>
          <c:idx val="0"/>
          <c:order val="0"/>
          <c:tx>
            <c:v>Punkty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Arkusz1!$C$4:$C$30</c:f>
              <c:numCache>
                <c:formatCode>General</c:formatCode>
                <c:ptCount val="27"/>
                <c:pt idx="0">
                  <c:v>-3</c:v>
                </c:pt>
                <c:pt idx="1">
                  <c:v>-1</c:v>
                </c:pt>
                <c:pt idx="2">
                  <c:v>2</c:v>
                </c:pt>
                <c:pt idx="3">
                  <c:v>4</c:v>
                </c:pt>
              </c:numCache>
            </c:numRef>
          </c:xVal>
          <c:yVal>
            <c:numRef>
              <c:f>Arkusz1!$D$4:$D$30</c:f>
              <c:numCache>
                <c:formatCode>General</c:formatCode>
                <c:ptCount val="27"/>
                <c:pt idx="0">
                  <c:v>10</c:v>
                </c:pt>
                <c:pt idx="1">
                  <c:v>2</c:v>
                </c:pt>
                <c:pt idx="2">
                  <c:v>5</c:v>
                </c:pt>
                <c:pt idx="3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71B-430B-B624-1AB43D8F9C5B}"/>
            </c:ext>
          </c:extLst>
        </c:ser>
        <c:ser>
          <c:idx val="1"/>
          <c:order val="1"/>
          <c:tx>
            <c:v>Funkcja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6350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Arkusz1!$P$4:$P$30</c:f>
              <c:numCache>
                <c:formatCode>General</c:formatCode>
                <c:ptCount val="27"/>
                <c:pt idx="0">
                  <c:v>-3</c:v>
                </c:pt>
                <c:pt idx="1">
                  <c:v>-2</c:v>
                </c:pt>
                <c:pt idx="2">
                  <c:v>-1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8</c:v>
                </c:pt>
                <c:pt idx="12">
                  <c:v>9</c:v>
                </c:pt>
                <c:pt idx="13">
                  <c:v>10</c:v>
                </c:pt>
                <c:pt idx="14">
                  <c:v>11</c:v>
                </c:pt>
                <c:pt idx="15">
                  <c:v>12</c:v>
                </c:pt>
                <c:pt idx="16">
                  <c:v>13</c:v>
                </c:pt>
                <c:pt idx="17">
                  <c:v>14</c:v>
                </c:pt>
                <c:pt idx="18">
                  <c:v>15</c:v>
                </c:pt>
                <c:pt idx="19">
                  <c:v>16</c:v>
                </c:pt>
                <c:pt idx="20">
                  <c:v>17</c:v>
                </c:pt>
              </c:numCache>
            </c:numRef>
          </c:xVal>
          <c:yVal>
            <c:numRef>
              <c:f>Arkusz1!$Q$4:$Q$30</c:f>
              <c:numCache>
                <c:formatCode>General</c:formatCode>
                <c:ptCount val="27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71B-430B-B624-1AB43D8F9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0304463"/>
        <c:axId val="1458967647"/>
      </c:scatterChart>
      <c:valAx>
        <c:axId val="1400304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58967647"/>
        <c:crosses val="autoZero"/>
        <c:crossBetween val="midCat"/>
      </c:valAx>
      <c:valAx>
        <c:axId val="1458967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00304463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  <a:ln>
          <a:noFill/>
        </a:ln>
        <a:effectLst/>
      </c:spPr>
    </c:plotArea>
    <c:legend>
      <c:legendPos val="t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8</xdr:row>
      <xdr:rowOff>152401</xdr:rowOff>
    </xdr:from>
    <xdr:to>
      <xdr:col>14</xdr:col>
      <xdr:colOff>495300</xdr:colOff>
      <xdr:row>30</xdr:row>
      <xdr:rowOff>85725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4</xdr:row>
          <xdr:rowOff>85725</xdr:rowOff>
        </xdr:from>
        <xdr:to>
          <xdr:col>12</xdr:col>
          <xdr:colOff>219075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l-PL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Oblicz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E477A-551A-4B39-A3F9-1108095E72B9}">
  <sheetPr codeName="Arkusz1"/>
  <dimension ref="A1:Z32"/>
  <sheetViews>
    <sheetView tabSelected="1" workbookViewId="0">
      <selection activeCell="C8" sqref="C8"/>
    </sheetView>
  </sheetViews>
  <sheetFormatPr defaultColWidth="0" defaultRowHeight="15" zeroHeight="1" x14ac:dyDescent="0.25"/>
  <cols>
    <col min="1" max="1" width="2" customWidth="1"/>
    <col min="2" max="2" width="3.5703125" customWidth="1"/>
    <col min="3" max="7" width="9.140625" customWidth="1"/>
    <col min="8" max="8" width="5.28515625" customWidth="1"/>
    <col min="9" max="9" width="9.140625" customWidth="1"/>
    <col min="10" max="10" width="2.140625" customWidth="1"/>
    <col min="11" max="11" width="9.140625" customWidth="1"/>
    <col min="12" max="12" width="2.140625" customWidth="1"/>
    <col min="13" max="17" width="9.140625" customWidth="1"/>
    <col min="18" max="18" width="5.7109375" customWidth="1"/>
    <col min="19" max="19" width="2" customWidth="1"/>
    <col min="20" max="20" width="9.140625" hidden="1" customWidth="1"/>
    <col min="21" max="21" width="13.7109375" hidden="1" customWidth="1"/>
    <col min="22" max="22" width="9.85546875" hidden="1" customWidth="1"/>
    <col min="23" max="25" width="0" hidden="1" customWidth="1"/>
    <col min="26" max="16384" width="9.140625" hidden="1"/>
  </cols>
  <sheetData>
    <row r="1" spans="1:26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26" x14ac:dyDescent="0.25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2"/>
    </row>
    <row r="3" spans="1:26" x14ac:dyDescent="0.25">
      <c r="A3" s="2"/>
      <c r="B3" s="3"/>
      <c r="C3" s="9" t="s">
        <v>0</v>
      </c>
      <c r="D3" s="9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5" t="s">
        <v>4</v>
      </c>
      <c r="Q3" s="6" t="s">
        <v>5</v>
      </c>
      <c r="R3" s="3"/>
      <c r="S3" s="2"/>
      <c r="U3" s="1" t="s">
        <v>6</v>
      </c>
      <c r="V3">
        <f>COUNT(C:C)</f>
        <v>4</v>
      </c>
      <c r="X3" t="s">
        <v>11</v>
      </c>
      <c r="Y3" t="s">
        <v>12</v>
      </c>
    </row>
    <row r="4" spans="1:26" x14ac:dyDescent="0.25">
      <c r="A4" s="2"/>
      <c r="B4" s="3"/>
      <c r="C4" s="12">
        <v>-3</v>
      </c>
      <c r="D4" s="12">
        <v>10</v>
      </c>
      <c r="E4" s="3"/>
      <c r="F4" s="3"/>
      <c r="G4" s="3"/>
      <c r="H4" s="4" t="s">
        <v>2</v>
      </c>
      <c r="I4" s="4">
        <f>W13</f>
        <v>8</v>
      </c>
      <c r="J4" s="4" t="s">
        <v>3</v>
      </c>
      <c r="K4" s="4">
        <f>Y13</f>
        <v>1</v>
      </c>
      <c r="L4" s="4" t="s">
        <v>4</v>
      </c>
      <c r="M4" s="3"/>
      <c r="N4" s="3"/>
      <c r="O4" s="3"/>
      <c r="P4" s="7">
        <f>MIN(C:C)</f>
        <v>-3</v>
      </c>
      <c r="Q4" s="8">
        <f t="shared" ref="Q4:Q24" si="0">$I$4+$K$4*P4</f>
        <v>5</v>
      </c>
      <c r="R4" s="3"/>
      <c r="S4" s="2"/>
      <c r="U4" s="1" t="s">
        <v>7</v>
      </c>
      <c r="V4">
        <f>SUM(C:C)</f>
        <v>2</v>
      </c>
      <c r="X4" s="11">
        <v>9</v>
      </c>
      <c r="Y4" s="11">
        <v>-30</v>
      </c>
    </row>
    <row r="5" spans="1:26" x14ac:dyDescent="0.25">
      <c r="A5" s="2"/>
      <c r="B5" s="3"/>
      <c r="C5" s="12">
        <v>-1</v>
      </c>
      <c r="D5" s="12">
        <v>2</v>
      </c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7">
        <f>P4+1</f>
        <v>-2</v>
      </c>
      <c r="Q5" s="8">
        <f t="shared" si="0"/>
        <v>6</v>
      </c>
      <c r="R5" s="3"/>
      <c r="S5" s="2"/>
      <c r="U5" s="1" t="s">
        <v>8</v>
      </c>
      <c r="V5">
        <f>SUM(X:X)</f>
        <v>30</v>
      </c>
      <c r="X5" s="11">
        <v>1</v>
      </c>
      <c r="Y5" s="11">
        <v>-2</v>
      </c>
    </row>
    <row r="6" spans="1:26" x14ac:dyDescent="0.25">
      <c r="A6" s="2"/>
      <c r="B6" s="3"/>
      <c r="C6" s="12">
        <v>2</v>
      </c>
      <c r="D6" s="12">
        <v>5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7">
        <f t="shared" ref="P6:P24" si="1">P5+1</f>
        <v>-1</v>
      </c>
      <c r="Q6" s="8">
        <f t="shared" si="0"/>
        <v>7</v>
      </c>
      <c r="R6" s="3"/>
      <c r="S6" s="2"/>
      <c r="U6" s="1" t="s">
        <v>9</v>
      </c>
      <c r="V6">
        <f>SUM(D:D)</f>
        <v>34</v>
      </c>
      <c r="X6" s="11">
        <v>4</v>
      </c>
      <c r="Y6" s="11">
        <v>10</v>
      </c>
    </row>
    <row r="7" spans="1:26" x14ac:dyDescent="0.25">
      <c r="A7" s="2"/>
      <c r="B7" s="3"/>
      <c r="C7" s="12">
        <v>4</v>
      </c>
      <c r="D7" s="12">
        <v>17</v>
      </c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7">
        <f t="shared" si="1"/>
        <v>0</v>
      </c>
      <c r="Q7" s="8">
        <f t="shared" si="0"/>
        <v>8</v>
      </c>
      <c r="R7" s="3"/>
      <c r="S7" s="2"/>
      <c r="U7" s="1" t="s">
        <v>10</v>
      </c>
      <c r="V7">
        <f>SUM(Y:Y)</f>
        <v>47</v>
      </c>
      <c r="X7" s="11">
        <v>16</v>
      </c>
      <c r="Y7" s="11">
        <v>68</v>
      </c>
    </row>
    <row r="8" spans="1:26" x14ac:dyDescent="0.25">
      <c r="A8" s="2"/>
      <c r="B8" s="3"/>
      <c r="C8" s="12"/>
      <c r="D8" s="12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7">
        <f t="shared" si="1"/>
        <v>1</v>
      </c>
      <c r="Q8" s="8">
        <f t="shared" si="0"/>
        <v>9</v>
      </c>
      <c r="R8" s="3"/>
      <c r="S8" s="2"/>
      <c r="X8" s="11"/>
      <c r="Y8" s="11"/>
    </row>
    <row r="9" spans="1:26" x14ac:dyDescent="0.25">
      <c r="A9" s="2"/>
      <c r="B9" s="3"/>
      <c r="C9" s="12"/>
      <c r="D9" s="12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7">
        <f t="shared" si="1"/>
        <v>2</v>
      </c>
      <c r="Q9" s="8">
        <f t="shared" si="0"/>
        <v>10</v>
      </c>
      <c r="R9" s="3"/>
      <c r="S9" s="2"/>
      <c r="X9" s="11"/>
      <c r="Y9" s="11"/>
    </row>
    <row r="10" spans="1:26" x14ac:dyDescent="0.25">
      <c r="A10" s="2"/>
      <c r="B10" s="3"/>
      <c r="C10" s="12"/>
      <c r="D10" s="12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7">
        <f t="shared" si="1"/>
        <v>3</v>
      </c>
      <c r="Q10" s="8">
        <f t="shared" si="0"/>
        <v>11</v>
      </c>
      <c r="R10" s="3"/>
      <c r="S10" s="2"/>
      <c r="U10" s="1" t="s">
        <v>13</v>
      </c>
      <c r="V10">
        <f>COUNT(C:C)</f>
        <v>4</v>
      </c>
      <c r="X10" s="11"/>
      <c r="Y10" s="11"/>
    </row>
    <row r="11" spans="1:26" x14ac:dyDescent="0.25">
      <c r="A11" s="2"/>
      <c r="B11" s="3"/>
      <c r="C11" s="12"/>
      <c r="D11" s="12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7">
        <f t="shared" si="1"/>
        <v>4</v>
      </c>
      <c r="Q11" s="8">
        <f t="shared" si="0"/>
        <v>12</v>
      </c>
      <c r="R11" s="3"/>
      <c r="S11" s="2"/>
      <c r="X11" s="11"/>
      <c r="Y11" s="11"/>
    </row>
    <row r="12" spans="1:26" x14ac:dyDescent="0.25">
      <c r="A12" s="2"/>
      <c r="B12" s="3"/>
      <c r="C12" s="12"/>
      <c r="D12" s="12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7">
        <f t="shared" si="1"/>
        <v>5</v>
      </c>
      <c r="Q12" s="8">
        <f t="shared" si="0"/>
        <v>13</v>
      </c>
      <c r="R12" s="3"/>
      <c r="S12" s="2"/>
      <c r="X12" s="11"/>
      <c r="Y12" s="11"/>
    </row>
    <row r="13" spans="1:26" x14ac:dyDescent="0.25">
      <c r="A13" s="2"/>
      <c r="B13" s="3"/>
      <c r="C13" s="12"/>
      <c r="D13" s="12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7">
        <f t="shared" si="1"/>
        <v>6</v>
      </c>
      <c r="Q13" s="8">
        <f t="shared" si="0"/>
        <v>14</v>
      </c>
      <c r="R13" s="3"/>
      <c r="S13" s="2"/>
      <c r="V13" t="s">
        <v>5</v>
      </c>
      <c r="W13" s="11">
        <v>8</v>
      </c>
      <c r="X13" s="11"/>
      <c r="Y13" s="11">
        <v>1</v>
      </c>
      <c r="Z13" t="s">
        <v>4</v>
      </c>
    </row>
    <row r="14" spans="1:26" x14ac:dyDescent="0.25">
      <c r="A14" s="2"/>
      <c r="B14" s="3"/>
      <c r="C14" s="12"/>
      <c r="D14" s="12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7">
        <f t="shared" si="1"/>
        <v>7</v>
      </c>
      <c r="Q14" s="8">
        <f t="shared" si="0"/>
        <v>15</v>
      </c>
      <c r="R14" s="3"/>
      <c r="S14" s="2"/>
      <c r="X14" s="11"/>
      <c r="Y14" s="11"/>
    </row>
    <row r="15" spans="1:26" x14ac:dyDescent="0.25">
      <c r="A15" s="2"/>
      <c r="B15" s="3"/>
      <c r="C15" s="12"/>
      <c r="D15" s="12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7">
        <f t="shared" si="1"/>
        <v>8</v>
      </c>
      <c r="Q15" s="8">
        <f t="shared" si="0"/>
        <v>16</v>
      </c>
      <c r="R15" s="3"/>
      <c r="S15" s="2"/>
      <c r="X15" s="11"/>
      <c r="Y15" s="11"/>
    </row>
    <row r="16" spans="1:26" x14ac:dyDescent="0.25">
      <c r="A16" s="2"/>
      <c r="B16" s="3"/>
      <c r="C16" s="12"/>
      <c r="D16" s="12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7">
        <f t="shared" si="1"/>
        <v>9</v>
      </c>
      <c r="Q16" s="8">
        <f t="shared" si="0"/>
        <v>17</v>
      </c>
      <c r="R16" s="3"/>
      <c r="S16" s="2"/>
      <c r="X16" s="11"/>
      <c r="Y16" s="11"/>
    </row>
    <row r="17" spans="1:25" x14ac:dyDescent="0.25">
      <c r="A17" s="2"/>
      <c r="B17" s="3"/>
      <c r="C17" s="12"/>
      <c r="D17" s="12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7">
        <f t="shared" si="1"/>
        <v>10</v>
      </c>
      <c r="Q17" s="8">
        <f t="shared" si="0"/>
        <v>18</v>
      </c>
      <c r="R17" s="3"/>
      <c r="S17" s="2"/>
      <c r="X17" s="11"/>
      <c r="Y17" s="11"/>
    </row>
    <row r="18" spans="1:25" x14ac:dyDescent="0.25">
      <c r="A18" s="2"/>
      <c r="B18" s="3"/>
      <c r="C18" s="12"/>
      <c r="D18" s="12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7">
        <f t="shared" si="1"/>
        <v>11</v>
      </c>
      <c r="Q18" s="8">
        <f t="shared" si="0"/>
        <v>19</v>
      </c>
      <c r="R18" s="3"/>
      <c r="S18" s="2"/>
      <c r="X18" s="11"/>
      <c r="Y18" s="11"/>
    </row>
    <row r="19" spans="1:25" x14ac:dyDescent="0.25">
      <c r="A19" s="2"/>
      <c r="B19" s="3"/>
      <c r="C19" s="12"/>
      <c r="D19" s="12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7">
        <f t="shared" si="1"/>
        <v>12</v>
      </c>
      <c r="Q19" s="8">
        <f t="shared" si="0"/>
        <v>20</v>
      </c>
      <c r="R19" s="3"/>
      <c r="S19" s="2"/>
      <c r="X19" s="11"/>
      <c r="Y19" s="11"/>
    </row>
    <row r="20" spans="1:25" x14ac:dyDescent="0.25">
      <c r="A20" s="2"/>
      <c r="B20" s="3"/>
      <c r="C20" s="12"/>
      <c r="D20" s="12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7">
        <f t="shared" si="1"/>
        <v>13</v>
      </c>
      <c r="Q20" s="8">
        <f t="shared" si="0"/>
        <v>21</v>
      </c>
      <c r="R20" s="3"/>
      <c r="S20" s="2"/>
      <c r="X20" s="11"/>
      <c r="Y20" s="11"/>
    </row>
    <row r="21" spans="1:25" x14ac:dyDescent="0.25">
      <c r="A21" s="2"/>
      <c r="B21" s="3"/>
      <c r="C21" s="12"/>
      <c r="D21" s="12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7">
        <f t="shared" si="1"/>
        <v>14</v>
      </c>
      <c r="Q21" s="8">
        <f t="shared" si="0"/>
        <v>22</v>
      </c>
      <c r="R21" s="3"/>
      <c r="S21" s="2"/>
      <c r="X21" s="11"/>
      <c r="Y21" s="11"/>
    </row>
    <row r="22" spans="1:25" x14ac:dyDescent="0.25">
      <c r="A22" s="2"/>
      <c r="B22" s="3"/>
      <c r="C22" s="12"/>
      <c r="D22" s="12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7">
        <f t="shared" si="1"/>
        <v>15</v>
      </c>
      <c r="Q22" s="8">
        <f t="shared" si="0"/>
        <v>23</v>
      </c>
      <c r="R22" s="3"/>
      <c r="S22" s="2"/>
      <c r="X22" s="11"/>
      <c r="Y22" s="11"/>
    </row>
    <row r="23" spans="1:25" x14ac:dyDescent="0.25">
      <c r="A23" s="2"/>
      <c r="B23" s="3"/>
      <c r="C23" s="12"/>
      <c r="D23" s="12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7">
        <f t="shared" si="1"/>
        <v>16</v>
      </c>
      <c r="Q23" s="8">
        <f t="shared" si="0"/>
        <v>24</v>
      </c>
      <c r="R23" s="3"/>
      <c r="S23" s="2"/>
      <c r="X23" s="11"/>
      <c r="Y23" s="11"/>
    </row>
    <row r="24" spans="1:25" x14ac:dyDescent="0.25">
      <c r="A24" s="2"/>
      <c r="B24" s="3"/>
      <c r="C24" s="10"/>
      <c r="D24" s="10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7">
        <f t="shared" si="1"/>
        <v>17</v>
      </c>
      <c r="Q24" s="8">
        <f t="shared" si="0"/>
        <v>25</v>
      </c>
      <c r="R24" s="3"/>
      <c r="S24" s="2"/>
    </row>
    <row r="25" spans="1:25" x14ac:dyDescent="0.25">
      <c r="A25" s="2"/>
      <c r="B25" s="3"/>
      <c r="C25" s="10"/>
      <c r="D25" s="10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0"/>
      <c r="Q25" s="10"/>
      <c r="R25" s="3"/>
      <c r="S25" s="2"/>
    </row>
    <row r="26" spans="1:25" x14ac:dyDescent="0.25">
      <c r="A26" s="2"/>
      <c r="B26" s="3"/>
      <c r="C26" s="10"/>
      <c r="D26" s="10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0"/>
      <c r="Q26" s="10"/>
      <c r="R26" s="3"/>
      <c r="S26" s="2"/>
    </row>
    <row r="27" spans="1:25" x14ac:dyDescent="0.25">
      <c r="A27" s="2"/>
      <c r="B27" s="3"/>
      <c r="C27" s="10"/>
      <c r="D27" s="10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0"/>
      <c r="Q27" s="10"/>
      <c r="R27" s="3"/>
      <c r="S27" s="2"/>
    </row>
    <row r="28" spans="1:25" x14ac:dyDescent="0.25">
      <c r="A28" s="2"/>
      <c r="B28" s="3"/>
      <c r="C28" s="10"/>
      <c r="D28" s="10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0"/>
      <c r="Q28" s="10"/>
      <c r="R28" s="3"/>
      <c r="S28" s="2"/>
    </row>
    <row r="29" spans="1:25" x14ac:dyDescent="0.25">
      <c r="A29" s="2"/>
      <c r="B29" s="3"/>
      <c r="C29" s="10"/>
      <c r="D29" s="10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0"/>
      <c r="Q29" s="10"/>
      <c r="R29" s="3"/>
      <c r="S29" s="2"/>
    </row>
    <row r="30" spans="1:25" x14ac:dyDescent="0.25">
      <c r="A30" s="2"/>
      <c r="B30" s="3"/>
      <c r="C30" s="10"/>
      <c r="D30" s="10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0"/>
      <c r="Q30" s="10"/>
      <c r="R30" s="3"/>
      <c r="S30" s="2"/>
    </row>
    <row r="31" spans="1:25" x14ac:dyDescent="0.25">
      <c r="A31" s="2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2"/>
    </row>
    <row r="32" spans="1:25" ht="10.5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</sheetData>
  <sheetProtection algorithmName="SHA-512" hashValue="ONTyH+vkcX5aUDLu50I9oYiGhPqvXdhQqQnY+UEIq/qFnAUQs1IgXdigWoumdmAH3ny9+6L82d/FgCd8dFExWg==" saltValue="GeRJZtksoJ04EoVX4tvdmQ==" spinCount="100000" sheet="1" objects="1" scenarios="1" select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Oblicz">
                <anchor moveWithCells="1" sizeWithCells="1">
                  <from>
                    <xdr:col>6</xdr:col>
                    <xdr:colOff>342900</xdr:colOff>
                    <xdr:row>4</xdr:row>
                    <xdr:rowOff>85725</xdr:rowOff>
                  </from>
                  <to>
                    <xdr:col>12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>Społeczna Akademia Nauk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Karol Namieciński</dc:creator>
  <cp:lastModifiedBy>Karol Namieciński</cp:lastModifiedBy>
  <dcterms:created xsi:type="dcterms:W3CDTF">2023-05-24T18:15:49Z</dcterms:created>
  <dcterms:modified xsi:type="dcterms:W3CDTF">2023-05-24T23:04:57Z</dcterms:modified>
</cp:coreProperties>
</file>