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en_skoroszyt"/>
  <mc:AlternateContent xmlns:mc="http://schemas.openxmlformats.org/markup-compatibility/2006">
    <mc:Choice Requires="x15">
      <x15ac:absPath xmlns:x15ac="http://schemas.microsoft.com/office/spreadsheetml/2010/11/ac" url="D:\Studia\4 semestr\Wprowadzenie do metod numerycznych ćw\Projekty\"/>
    </mc:Choice>
  </mc:AlternateContent>
  <xr:revisionPtr revIDLastSave="0" documentId="13_ncr:1_{44258B98-B80D-4C84-8BEC-D414A331925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7" i="1" l="1"/>
  <c r="U5" i="1"/>
  <c r="Z13" i="1"/>
  <c r="Z12" i="1"/>
  <c r="Z11" i="1"/>
  <c r="T13" i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12" i="1"/>
  <c r="V13" i="1" l="1"/>
  <c r="V20" i="1"/>
  <c r="V17" i="1"/>
  <c r="V23" i="1"/>
  <c r="V21" i="1"/>
  <c r="V30" i="1"/>
  <c r="V28" i="1"/>
  <c r="V16" i="1"/>
  <c r="U17" i="1"/>
  <c r="V32" i="1"/>
  <c r="V18" i="1"/>
  <c r="V27" i="1"/>
  <c r="V15" i="1"/>
  <c r="V24" i="1"/>
  <c r="V22" i="1"/>
  <c r="V19" i="1"/>
  <c r="V29" i="1"/>
  <c r="V26" i="1"/>
  <c r="V14" i="1"/>
  <c r="V12" i="1"/>
  <c r="V31" i="1"/>
  <c r="U22" i="1"/>
  <c r="V25" i="1"/>
  <c r="U21" i="1"/>
  <c r="U31" i="1"/>
  <c r="U20" i="1"/>
  <c r="U12" i="1"/>
  <c r="U28" i="1"/>
  <c r="U19" i="1"/>
  <c r="U18" i="1"/>
  <c r="U23" i="1"/>
  <c r="U30" i="1"/>
  <c r="U29" i="1"/>
  <c r="U24" i="1"/>
  <c r="U32" i="1"/>
  <c r="U16" i="1"/>
  <c r="U27" i="1"/>
  <c r="U15" i="1"/>
  <c r="U26" i="1"/>
  <c r="U14" i="1"/>
  <c r="U25" i="1"/>
  <c r="U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Karol Namieciński</author>
  </authors>
  <commentList>
    <comment ref="C3" authorId="0" shapeId="0" xr:uid="{2904AFBA-40E2-48C6-A25F-AB82E02B4D6F}">
      <text>
        <r>
          <rPr>
            <b/>
            <sz val="9"/>
            <color indexed="81"/>
            <rFont val="Tahoma"/>
            <family val="2"/>
            <charset val="238"/>
          </rPr>
          <t>Koniec</t>
        </r>
      </text>
    </comment>
    <comment ref="I3" authorId="0" shapeId="0" xr:uid="{75B804BE-6B43-44C7-81EA-0B4ACBEEACC7}">
      <text>
        <r>
          <rPr>
            <b/>
            <sz val="9"/>
            <color indexed="81"/>
            <rFont val="Tahoma"/>
            <family val="2"/>
            <charset val="238"/>
          </rPr>
          <t>Wykładniki</t>
        </r>
      </text>
    </comment>
    <comment ref="H4" authorId="0" shapeId="0" xr:uid="{146BEA40-4147-4F92-B303-E5AC9BAFEE39}">
      <text>
        <r>
          <rPr>
            <b/>
            <sz val="9"/>
            <color indexed="81"/>
            <rFont val="Tahoma"/>
            <family val="2"/>
            <charset val="238"/>
          </rPr>
          <t>Wyznaczniki</t>
        </r>
      </text>
    </comment>
    <comment ref="N4" authorId="0" shapeId="0" xr:uid="{D16307EC-E815-49FB-B889-E0CBBB5F65A9}">
      <text>
        <r>
          <rPr>
            <b/>
            <sz val="9"/>
            <color indexed="81"/>
            <rFont val="Tahoma"/>
            <family val="2"/>
            <charset val="238"/>
          </rPr>
          <t>Wyraz wolny</t>
        </r>
      </text>
    </comment>
    <comment ref="R4" authorId="0" shapeId="0" xr:uid="{365A989A-6309-4738-A77B-7DF72A5C3CFF}">
      <text>
        <r>
          <rPr>
            <b/>
            <sz val="9"/>
            <color indexed="81"/>
            <rFont val="Tahoma"/>
            <family val="2"/>
            <charset val="238"/>
          </rPr>
          <t>Ilość części</t>
        </r>
      </text>
    </comment>
    <comment ref="C5" authorId="0" shapeId="0" xr:uid="{B47F3A17-2850-490B-B889-D888E16D78B6}">
      <text>
        <r>
          <rPr>
            <b/>
            <sz val="9"/>
            <color indexed="81"/>
            <rFont val="Tahoma"/>
            <family val="2"/>
            <charset val="238"/>
          </rPr>
          <t>Początek</t>
        </r>
      </text>
    </comment>
    <comment ref="I7" authorId="0" shapeId="0" xr:uid="{2A1E51C8-F36D-4C33-8A75-C05DFBA498E2}">
      <text>
        <r>
          <rPr>
            <b/>
            <sz val="9"/>
            <color indexed="81"/>
            <rFont val="Tahoma"/>
            <family val="2"/>
            <charset val="238"/>
          </rPr>
          <t>Metody</t>
        </r>
      </text>
    </comment>
  </commentList>
</comments>
</file>

<file path=xl/sharedStrings.xml><?xml version="1.0" encoding="utf-8"?>
<sst xmlns="http://schemas.openxmlformats.org/spreadsheetml/2006/main" count="19" uniqueCount="12">
  <si>
    <t>ʃ</t>
  </si>
  <si>
    <t>(</t>
  </si>
  <si>
    <t>)</t>
  </si>
  <si>
    <t>Wyniki</t>
  </si>
  <si>
    <t>Trapezów</t>
  </si>
  <si>
    <t>Metoda</t>
  </si>
  <si>
    <t>Simpsona</t>
  </si>
  <si>
    <t>x</t>
  </si>
  <si>
    <t>+</t>
  </si>
  <si>
    <t>f(x)</t>
  </si>
  <si>
    <t>pochodna</t>
  </si>
  <si>
    <t>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</si>
</sst>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sz val="8"/>
      <color rgb="FF000000"/>
      <name val="Segoe UI"/>
      <family val="2"/>
      <charset val="238"/>
    </font>
    <font>
      <b/>
      <sz val="9"/>
      <color indexed="81"/>
      <name val="Tahoma"/>
      <family val="2"/>
      <charset val="238"/>
    </font>
    <font>
      <sz val="20"/>
      <color rgb="FF000000"/>
      <name val="Calibri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3" borderId="0" xfId="0" applyFill="1"/>
    <xf numFmtId="0" fontId="1" fillId="5" borderId="0" xfId="0" applyFont="1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4" borderId="0" xfId="0" applyFill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505144901869966E-2"/>
          <c:y val="9.8647598305576539E-2"/>
          <c:w val="0.9355536786275418"/>
          <c:h val="0.85719927015310049"/>
        </c:manualLayout>
      </c:layout>
      <c:scatterChart>
        <c:scatterStyle val="smoothMarker"/>
        <c:varyColors val="0"/>
        <c:ser>
          <c:idx val="0"/>
          <c:order val="0"/>
          <c:tx>
            <c:v>Wykres funkcji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Arkusz1!$T$12:$T$32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xVal>
          <c:yVal>
            <c:numRef>
              <c:f>Arkusz1!$U$12:$U$32</c:f>
              <c:numCache>
                <c:formatCode>General</c:formatCode>
                <c:ptCount val="21"/>
                <c:pt idx="0">
                  <c:v>18</c:v>
                </c:pt>
                <c:pt idx="1">
                  <c:v>11</c:v>
                </c:pt>
                <c:pt idx="2">
                  <c:v>5</c:v>
                </c:pt>
                <c:pt idx="3">
                  <c:v>0</c:v>
                </c:pt>
                <c:pt idx="4">
                  <c:v>-4</c:v>
                </c:pt>
                <c:pt idx="5">
                  <c:v>-7</c:v>
                </c:pt>
                <c:pt idx="6">
                  <c:v>-9</c:v>
                </c:pt>
                <c:pt idx="7">
                  <c:v>-10</c:v>
                </c:pt>
                <c:pt idx="8">
                  <c:v>-10</c:v>
                </c:pt>
                <c:pt idx="9">
                  <c:v>-9</c:v>
                </c:pt>
                <c:pt idx="10">
                  <c:v>-7</c:v>
                </c:pt>
                <c:pt idx="11">
                  <c:v>-4</c:v>
                </c:pt>
                <c:pt idx="12">
                  <c:v>0</c:v>
                </c:pt>
                <c:pt idx="13">
                  <c:v>5</c:v>
                </c:pt>
                <c:pt idx="14">
                  <c:v>11</c:v>
                </c:pt>
                <c:pt idx="15">
                  <c:v>18</c:v>
                </c:pt>
                <c:pt idx="16">
                  <c:v>26</c:v>
                </c:pt>
                <c:pt idx="17">
                  <c:v>35</c:v>
                </c:pt>
                <c:pt idx="18">
                  <c:v>45</c:v>
                </c:pt>
                <c:pt idx="19">
                  <c:v>56</c:v>
                </c:pt>
                <c:pt idx="20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2C-4721-811D-BA7308FCA28B}"/>
            </c:ext>
          </c:extLst>
        </c:ser>
        <c:ser>
          <c:idx val="1"/>
          <c:order val="1"/>
          <c:tx>
            <c:v>pochodna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Arkusz1!$T$12:$T$32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xVal>
          <c:yVal>
            <c:numRef>
              <c:f>Arkusz1!$V$12:$V$32</c:f>
              <c:numCache>
                <c:formatCode>General</c:formatCode>
                <c:ptCount val="21"/>
                <c:pt idx="0">
                  <c:v>-15</c:v>
                </c:pt>
                <c:pt idx="1">
                  <c:v>-13</c:v>
                </c:pt>
                <c:pt idx="2">
                  <c:v>-11</c:v>
                </c:pt>
                <c:pt idx="3">
                  <c:v>-9</c:v>
                </c:pt>
                <c:pt idx="4">
                  <c:v>-7</c:v>
                </c:pt>
                <c:pt idx="5">
                  <c:v>-5</c:v>
                </c:pt>
                <c:pt idx="6">
                  <c:v>-3</c:v>
                </c:pt>
                <c:pt idx="7">
                  <c:v>-1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2">
                  <c:v>9</c:v>
                </c:pt>
                <c:pt idx="13">
                  <c:v>11</c:v>
                </c:pt>
                <c:pt idx="14">
                  <c:v>13</c:v>
                </c:pt>
                <c:pt idx="15">
                  <c:v>15</c:v>
                </c:pt>
                <c:pt idx="16">
                  <c:v>17</c:v>
                </c:pt>
                <c:pt idx="17">
                  <c:v>19</c:v>
                </c:pt>
                <c:pt idx="18">
                  <c:v>21</c:v>
                </c:pt>
                <c:pt idx="19">
                  <c:v>23</c:v>
                </c:pt>
                <c:pt idx="20">
                  <c:v>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2C-4721-811D-BA7308FCA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57296"/>
        <c:axId val="93670256"/>
      </c:scatterChart>
      <c:valAx>
        <c:axId val="93657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670256"/>
        <c:crosses val="autoZero"/>
        <c:crossBetween val="midCat"/>
      </c:valAx>
      <c:valAx>
        <c:axId val="9367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657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722692967877286"/>
          <c:y val="2.346795544145364E-2"/>
          <c:w val="0.41405349612197351"/>
          <c:h val="5.36996733128304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Y$1" lockText="1" noThreeD="1"/>
</file>

<file path=xl/ctrlProps/ctrlProp2.xml><?xml version="1.0" encoding="utf-8"?>
<formControlPr xmlns="http://schemas.microsoft.com/office/spreadsheetml/2009/9/main" objectType="CheckBox" checked="Checked" fmlaLink="$Z$1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0</xdr:rowOff>
        </xdr:from>
        <xdr:to>
          <xdr:col>15</xdr:col>
          <xdr:colOff>476250</xdr:colOff>
          <xdr:row>9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l-PL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Oblicz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9526</xdr:colOff>
          <xdr:row>5</xdr:row>
          <xdr:rowOff>180975</xdr:rowOff>
        </xdr:from>
        <xdr:to>
          <xdr:col>9</xdr:col>
          <xdr:colOff>9525</xdr:colOff>
          <xdr:row>10</xdr:row>
          <xdr:rowOff>19050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447801" y="1085850"/>
              <a:ext cx="1285874" cy="790575"/>
              <a:chOff x="1409701" y="1438270"/>
              <a:chExt cx="1047749" cy="581025"/>
            </a:xfrm>
          </xdr:grpSpPr>
          <xdr:sp macro="" textlink="">
            <xdr:nvSpPr>
              <xdr:cNvPr id="1025" name="Check Box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543050" y="1514475"/>
                <a:ext cx="9144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Trapezów</a:t>
                </a:r>
              </a:p>
            </xdr:txBody>
          </xdr:sp>
          <xdr:sp macro="" textlink="">
            <xdr:nvSpPr>
              <xdr:cNvPr id="1026" name="Check Box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543050" y="1714500"/>
                <a:ext cx="9144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Simpsona</a:t>
                </a:r>
              </a:p>
            </xdr:txBody>
          </xdr:sp>
          <xdr:sp macro="" textlink="">
            <xdr:nvSpPr>
              <xdr:cNvPr id="1028" name="Group Box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1409701" y="1438270"/>
                <a:ext cx="1028701" cy="581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1</xdr:col>
      <xdr:colOff>95250</xdr:colOff>
      <xdr:row>10</xdr:row>
      <xdr:rowOff>171451</xdr:rowOff>
    </xdr:from>
    <xdr:to>
      <xdr:col>17</xdr:col>
      <xdr:colOff>390525</xdr:colOff>
      <xdr:row>31</xdr:row>
      <xdr:rowOff>161925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581025</xdr:colOff>
          <xdr:row>7</xdr:row>
          <xdr:rowOff>57150</xdr:rowOff>
        </xdr:from>
        <xdr:to>
          <xdr:col>22</xdr:col>
          <xdr:colOff>9525</xdr:colOff>
          <xdr:row>9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l-PL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Wyczyść wyniki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AB34"/>
  <sheetViews>
    <sheetView tabSelected="1" workbookViewId="0">
      <selection activeCell="H4" sqref="H4"/>
    </sheetView>
  </sheetViews>
  <sheetFormatPr defaultColWidth="0" defaultRowHeight="15" zeroHeight="1" x14ac:dyDescent="0.25"/>
  <cols>
    <col min="1" max="1" width="2.140625" customWidth="1"/>
    <col min="2" max="2" width="9.140625" customWidth="1"/>
    <col min="3" max="3" width="2.85546875" customWidth="1"/>
    <col min="4" max="4" width="1.7109375" customWidth="1"/>
    <col min="5" max="6" width="5.7109375" customWidth="1"/>
    <col min="7" max="7" width="2.140625" customWidth="1"/>
    <col min="8" max="9" width="5.7109375" customWidth="1"/>
    <col min="10" max="10" width="2.140625" customWidth="1"/>
    <col min="11" max="12" width="5.7109375" customWidth="1"/>
    <col min="13" max="13" width="2.140625" customWidth="1"/>
    <col min="14" max="14" width="5.7109375" customWidth="1"/>
    <col min="15" max="15" width="1.7109375" customWidth="1"/>
    <col min="16" max="16" width="2.85546875" customWidth="1"/>
    <col min="17" max="19" width="7.140625" customWidth="1"/>
    <col min="20" max="23" width="9.140625" customWidth="1"/>
    <col min="24" max="24" width="2.140625" customWidth="1"/>
    <col min="25" max="16384" width="9.140625" hidden="1"/>
  </cols>
  <sheetData>
    <row r="1" spans="1:28" ht="11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3" t="b">
        <v>1</v>
      </c>
      <c r="Z1" s="13" t="b">
        <v>1</v>
      </c>
    </row>
    <row r="2" spans="1:28" x14ac:dyDescent="0.25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1"/>
    </row>
    <row r="3" spans="1:28" ht="15" customHeight="1" x14ac:dyDescent="0.25">
      <c r="A3" s="1"/>
      <c r="B3" s="2"/>
      <c r="C3" s="11">
        <v>4</v>
      </c>
      <c r="D3" s="2"/>
      <c r="E3" s="2"/>
      <c r="F3" s="12">
        <v>3</v>
      </c>
      <c r="G3" s="2"/>
      <c r="H3" s="2"/>
      <c r="I3" s="12">
        <v>2</v>
      </c>
      <c r="J3" s="2"/>
      <c r="K3" s="2"/>
      <c r="L3" s="12">
        <v>1</v>
      </c>
      <c r="M3" s="2"/>
      <c r="N3" s="2"/>
      <c r="O3" s="2"/>
      <c r="P3" s="2"/>
      <c r="Q3" s="2"/>
      <c r="R3" s="2"/>
      <c r="S3" s="2"/>
      <c r="T3" s="4" t="s">
        <v>5</v>
      </c>
      <c r="U3" s="14" t="s">
        <v>3</v>
      </c>
      <c r="V3" s="14"/>
      <c r="W3" s="2"/>
      <c r="X3" s="1"/>
      <c r="AA3" t="s">
        <v>4</v>
      </c>
      <c r="AB3" s="13">
        <v>56</v>
      </c>
    </row>
    <row r="4" spans="1:28" ht="15" customHeight="1" x14ac:dyDescent="0.25">
      <c r="A4" s="1"/>
      <c r="B4" s="2"/>
      <c r="C4" s="3" t="s">
        <v>0</v>
      </c>
      <c r="D4" s="4" t="s">
        <v>1</v>
      </c>
      <c r="E4" s="12">
        <v>0</v>
      </c>
      <c r="F4" s="4" t="s">
        <v>7</v>
      </c>
      <c r="G4" s="4" t="s">
        <v>8</v>
      </c>
      <c r="H4" s="12">
        <v>2</v>
      </c>
      <c r="I4" s="4" t="s">
        <v>7</v>
      </c>
      <c r="J4" s="4" t="s">
        <v>8</v>
      </c>
      <c r="K4" s="12">
        <v>5</v>
      </c>
      <c r="L4" s="4" t="s">
        <v>7</v>
      </c>
      <c r="M4" s="4" t="s">
        <v>8</v>
      </c>
      <c r="N4" s="12">
        <v>-7</v>
      </c>
      <c r="O4" s="4" t="s">
        <v>2</v>
      </c>
      <c r="P4" s="4" t="s">
        <v>11</v>
      </c>
      <c r="Q4" s="2"/>
      <c r="R4" s="12">
        <v>4</v>
      </c>
      <c r="S4" s="2"/>
      <c r="T4" s="2"/>
      <c r="U4" s="2"/>
      <c r="V4" s="2"/>
      <c r="W4" s="2"/>
      <c r="X4" s="1"/>
      <c r="AA4" t="s">
        <v>6</v>
      </c>
      <c r="AB4" s="13">
        <v>41.666666666666664</v>
      </c>
    </row>
    <row r="5" spans="1:28" x14ac:dyDescent="0.25">
      <c r="A5" s="1"/>
      <c r="B5" s="2"/>
      <c r="C5" s="11">
        <v>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4" t="s">
        <v>4</v>
      </c>
      <c r="U5" s="15">
        <f>AB3</f>
        <v>56</v>
      </c>
      <c r="V5" s="15"/>
      <c r="W5" s="2"/>
      <c r="X5" s="1"/>
    </row>
    <row r="6" spans="1:28" x14ac:dyDescent="0.25">
      <c r="A6" s="1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1"/>
    </row>
    <row r="7" spans="1:28" x14ac:dyDescent="0.25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4" t="s">
        <v>6</v>
      </c>
      <c r="U7" s="15">
        <f>AB4</f>
        <v>41.666666666666664</v>
      </c>
      <c r="V7" s="15"/>
      <c r="W7" s="2"/>
      <c r="X7" s="1"/>
    </row>
    <row r="8" spans="1:28" x14ac:dyDescent="0.25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1"/>
    </row>
    <row r="9" spans="1:28" x14ac:dyDescent="0.25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1"/>
    </row>
    <row r="10" spans="1:28" x14ac:dyDescent="0.25">
      <c r="A10" s="1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1"/>
    </row>
    <row r="11" spans="1:28" x14ac:dyDescent="0.25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8" t="s">
        <v>7</v>
      </c>
      <c r="U11" s="9" t="s">
        <v>9</v>
      </c>
      <c r="V11" s="10" t="s">
        <v>10</v>
      </c>
      <c r="W11" s="2"/>
      <c r="X11" s="1"/>
      <c r="Z11">
        <f>IF($F$3&lt;=0,1,$F$3)</f>
        <v>3</v>
      </c>
    </row>
    <row r="12" spans="1:28" x14ac:dyDescent="0.2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7">
        <f>-5</f>
        <v>-5</v>
      </c>
      <c r="U12" s="6">
        <f t="shared" ref="U12:U32" si="0">$E$4*(T12)^$Z$11+$H$4*(T12)^$Z$12+$K$4*(T12)^$Z$13+$N$4</f>
        <v>18</v>
      </c>
      <c r="V12" s="5">
        <f t="shared" ref="V12:V32" si="1">IF($Z$11-1 &lt;= 0,$E$4,$F$3*$E$4*(T12)^($F$3-1))+IF($Z$12-1 &lt;= 0,$H$4,$I$3*$H$4*(T12)^($I$3-1))+IF($L$3-1 &lt;= 0,$K$4,$L$3*$K$4*(T12)^($L$3-1))</f>
        <v>-15</v>
      </c>
      <c r="W12" s="2"/>
      <c r="X12" s="1"/>
      <c r="Z12">
        <f>IF($I$3&lt;=0,1,$I$3)</f>
        <v>2</v>
      </c>
    </row>
    <row r="13" spans="1:28" x14ac:dyDescent="0.25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7">
        <f>T12+0.5</f>
        <v>-4.5</v>
      </c>
      <c r="U13" s="6">
        <f t="shared" si="0"/>
        <v>11</v>
      </c>
      <c r="V13" s="5">
        <f t="shared" si="1"/>
        <v>-13</v>
      </c>
      <c r="W13" s="2"/>
      <c r="X13" s="1"/>
      <c r="Z13">
        <f>IF($L$3&lt;=0,1,$L$3)</f>
        <v>1</v>
      </c>
    </row>
    <row r="14" spans="1:28" x14ac:dyDescent="0.2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7">
        <f t="shared" ref="T14:T31" si="2">T13+0.5</f>
        <v>-4</v>
      </c>
      <c r="U14" s="6">
        <f t="shared" si="0"/>
        <v>5</v>
      </c>
      <c r="V14" s="5">
        <f t="shared" si="1"/>
        <v>-11</v>
      </c>
      <c r="W14" s="2"/>
      <c r="X14" s="1"/>
    </row>
    <row r="15" spans="1:28" x14ac:dyDescent="0.25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7">
        <f t="shared" si="2"/>
        <v>-3.5</v>
      </c>
      <c r="U15" s="6">
        <f t="shared" si="0"/>
        <v>0</v>
      </c>
      <c r="V15" s="5">
        <f t="shared" si="1"/>
        <v>-9</v>
      </c>
      <c r="W15" s="2"/>
      <c r="X15" s="1"/>
    </row>
    <row r="16" spans="1:28" x14ac:dyDescent="0.2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7">
        <f t="shared" si="2"/>
        <v>-3</v>
      </c>
      <c r="U16" s="6">
        <f t="shared" si="0"/>
        <v>-4</v>
      </c>
      <c r="V16" s="5">
        <f t="shared" si="1"/>
        <v>-7</v>
      </c>
      <c r="W16" s="2"/>
      <c r="X16" s="1"/>
    </row>
    <row r="17" spans="1:24" x14ac:dyDescent="0.2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7">
        <f t="shared" si="2"/>
        <v>-2.5</v>
      </c>
      <c r="U17" s="6">
        <f t="shared" si="0"/>
        <v>-7</v>
      </c>
      <c r="V17" s="5">
        <f t="shared" si="1"/>
        <v>-5</v>
      </c>
      <c r="W17" s="2"/>
      <c r="X17" s="1"/>
    </row>
    <row r="18" spans="1:24" x14ac:dyDescent="0.2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7">
        <f t="shared" si="2"/>
        <v>-2</v>
      </c>
      <c r="U18" s="6">
        <f t="shared" si="0"/>
        <v>-9</v>
      </c>
      <c r="V18" s="5">
        <f t="shared" si="1"/>
        <v>-3</v>
      </c>
      <c r="W18" s="2"/>
      <c r="X18" s="1"/>
    </row>
    <row r="19" spans="1:24" x14ac:dyDescent="0.2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7">
        <f t="shared" si="2"/>
        <v>-1.5</v>
      </c>
      <c r="U19" s="6">
        <f t="shared" si="0"/>
        <v>-10</v>
      </c>
      <c r="V19" s="5">
        <f t="shared" si="1"/>
        <v>-1</v>
      </c>
      <c r="W19" s="2"/>
      <c r="X19" s="1"/>
    </row>
    <row r="20" spans="1:24" x14ac:dyDescent="0.2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7">
        <f t="shared" si="2"/>
        <v>-1</v>
      </c>
      <c r="U20" s="6">
        <f t="shared" si="0"/>
        <v>-10</v>
      </c>
      <c r="V20" s="5">
        <f t="shared" si="1"/>
        <v>1</v>
      </c>
      <c r="W20" s="2"/>
      <c r="X20" s="1"/>
    </row>
    <row r="21" spans="1:24" x14ac:dyDescent="0.2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7">
        <f t="shared" si="2"/>
        <v>-0.5</v>
      </c>
      <c r="U21" s="6">
        <f t="shared" si="0"/>
        <v>-9</v>
      </c>
      <c r="V21" s="5">
        <f t="shared" si="1"/>
        <v>3</v>
      </c>
      <c r="W21" s="2"/>
      <c r="X21" s="1"/>
    </row>
    <row r="22" spans="1:24" x14ac:dyDescent="0.2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7">
        <f t="shared" si="2"/>
        <v>0</v>
      </c>
      <c r="U22" s="6">
        <f t="shared" si="0"/>
        <v>-7</v>
      </c>
      <c r="V22" s="5">
        <f t="shared" si="1"/>
        <v>5</v>
      </c>
      <c r="W22" s="2"/>
      <c r="X22" s="1"/>
    </row>
    <row r="23" spans="1:24" x14ac:dyDescent="0.2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7">
        <f t="shared" si="2"/>
        <v>0.5</v>
      </c>
      <c r="U23" s="6">
        <f t="shared" si="0"/>
        <v>-4</v>
      </c>
      <c r="V23" s="5">
        <f t="shared" si="1"/>
        <v>7</v>
      </c>
      <c r="W23" s="2"/>
      <c r="X23" s="1"/>
    </row>
    <row r="24" spans="1:24" x14ac:dyDescent="0.2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7">
        <f>T23+0.5</f>
        <v>1</v>
      </c>
      <c r="U24" s="6">
        <f t="shared" si="0"/>
        <v>0</v>
      </c>
      <c r="V24" s="5">
        <f t="shared" si="1"/>
        <v>9</v>
      </c>
      <c r="W24" s="2"/>
      <c r="X24" s="1"/>
    </row>
    <row r="25" spans="1:24" x14ac:dyDescent="0.2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7">
        <f t="shared" si="2"/>
        <v>1.5</v>
      </c>
      <c r="U25" s="6">
        <f t="shared" si="0"/>
        <v>5</v>
      </c>
      <c r="V25" s="5">
        <f t="shared" si="1"/>
        <v>11</v>
      </c>
      <c r="W25" s="2"/>
      <c r="X25" s="1"/>
    </row>
    <row r="26" spans="1:24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7">
        <f t="shared" si="2"/>
        <v>2</v>
      </c>
      <c r="U26" s="6">
        <f t="shared" si="0"/>
        <v>11</v>
      </c>
      <c r="V26" s="5">
        <f t="shared" si="1"/>
        <v>13</v>
      </c>
      <c r="W26" s="2"/>
      <c r="X26" s="1"/>
    </row>
    <row r="27" spans="1:24" x14ac:dyDescent="0.2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7">
        <f t="shared" si="2"/>
        <v>2.5</v>
      </c>
      <c r="U27" s="6">
        <f t="shared" si="0"/>
        <v>18</v>
      </c>
      <c r="V27" s="5">
        <f t="shared" si="1"/>
        <v>15</v>
      </c>
      <c r="W27" s="2"/>
      <c r="X27" s="1"/>
    </row>
    <row r="28" spans="1:24" x14ac:dyDescent="0.2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7">
        <f t="shared" si="2"/>
        <v>3</v>
      </c>
      <c r="U28" s="6">
        <f t="shared" si="0"/>
        <v>26</v>
      </c>
      <c r="V28" s="5">
        <f t="shared" si="1"/>
        <v>17</v>
      </c>
      <c r="W28" s="2"/>
      <c r="X28" s="1"/>
    </row>
    <row r="29" spans="1:24" x14ac:dyDescent="0.2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7">
        <f t="shared" si="2"/>
        <v>3.5</v>
      </c>
      <c r="U29" s="6">
        <f t="shared" si="0"/>
        <v>35</v>
      </c>
      <c r="V29" s="5">
        <f t="shared" si="1"/>
        <v>19</v>
      </c>
      <c r="W29" s="2"/>
      <c r="X29" s="1"/>
    </row>
    <row r="30" spans="1:24" x14ac:dyDescent="0.2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7">
        <f>T29+0.5</f>
        <v>4</v>
      </c>
      <c r="U30" s="6">
        <f t="shared" si="0"/>
        <v>45</v>
      </c>
      <c r="V30" s="5">
        <f t="shared" si="1"/>
        <v>21</v>
      </c>
      <c r="W30" s="2"/>
      <c r="X30" s="1"/>
    </row>
    <row r="31" spans="1:24" x14ac:dyDescent="0.2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7">
        <f t="shared" si="2"/>
        <v>4.5</v>
      </c>
      <c r="U31" s="6">
        <f t="shared" si="0"/>
        <v>56</v>
      </c>
      <c r="V31" s="5">
        <f t="shared" si="1"/>
        <v>23</v>
      </c>
      <c r="W31" s="2"/>
      <c r="X31" s="1"/>
    </row>
    <row r="32" spans="1:24" x14ac:dyDescent="0.2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7">
        <f>T31+0.5</f>
        <v>5</v>
      </c>
      <c r="U32" s="6">
        <f t="shared" si="0"/>
        <v>68</v>
      </c>
      <c r="V32" s="5">
        <f t="shared" si="1"/>
        <v>25</v>
      </c>
      <c r="W32" s="2"/>
      <c r="X32" s="1"/>
    </row>
    <row r="33" spans="1:24" x14ac:dyDescent="0.2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1"/>
    </row>
    <row r="34" spans="1:24" ht="11.2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sheetProtection algorithmName="SHA-512" hashValue="YRR82INtOcsKyms03Wc9SFHFUUlN66gsPNaVcrDxcTi3h3uuE5+/lXw6pPhlPGJGfbfnoTa8GW+5NFn65mn/gQ==" saltValue="mo6FSXeuYJziDDiDnfXtvw==" spinCount="100000" sheet="1" objects="1" scenarios="1" selectLockedCells="1"/>
  <mergeCells count="3">
    <mergeCell ref="U3:V3"/>
    <mergeCell ref="U5:V5"/>
    <mergeCell ref="U7:V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locked="0" defaultSize="0" autoFill="0" autoLine="0" autoPict="0">
                <anchor moveWithCells="1">
                  <from>
                    <xdr:col>5</xdr:col>
                    <xdr:colOff>171450</xdr:colOff>
                    <xdr:row>6</xdr:row>
                    <xdr:rowOff>95250</xdr:rowOff>
                  </from>
                  <to>
                    <xdr:col>9</xdr:col>
                    <xdr:colOff>9525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locked="0" defaultSize="0" autoFill="0" autoLine="0" autoPict="0">
                <anchor moveWithCells="1">
                  <from>
                    <xdr:col>5</xdr:col>
                    <xdr:colOff>171450</xdr:colOff>
                    <xdr:row>7</xdr:row>
                    <xdr:rowOff>171450</xdr:rowOff>
                  </from>
                  <to>
                    <xdr:col>9</xdr:col>
                    <xdr:colOff>9525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locked="0" defaultSize="0" print="0" autoFill="0" autoPict="0" macro="[0]!Oblicz">
                <anchor moveWithCells="1" siz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15</xdr:col>
                    <xdr:colOff>476250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Group Box 4">
              <controlPr defaultSize="0" autoFill="0" autoPict="0">
                <anchor moveWithCells="1">
                  <from>
                    <xdr:col>5</xdr:col>
                    <xdr:colOff>9525</xdr:colOff>
                    <xdr:row>5</xdr:row>
                    <xdr:rowOff>180975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yczysc">
                <anchor moveWithCells="1" sizeWithCells="1">
                  <from>
                    <xdr:col>18</xdr:col>
                    <xdr:colOff>581025</xdr:colOff>
                    <xdr:row>7</xdr:row>
                    <xdr:rowOff>57150</xdr:rowOff>
                  </from>
                  <to>
                    <xdr:col>22</xdr:col>
                    <xdr:colOff>9525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 Namieciński</dc:creator>
  <cp:lastModifiedBy>Karol Namieciński</cp:lastModifiedBy>
  <dcterms:created xsi:type="dcterms:W3CDTF">2015-06-05T18:19:34Z</dcterms:created>
  <dcterms:modified xsi:type="dcterms:W3CDTF">2023-05-24T23:21:08Z</dcterms:modified>
</cp:coreProperties>
</file>